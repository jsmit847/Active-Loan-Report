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Bridge Summary" sheetId="1" state="visible" r:id="rId1"/>
    <sheet xmlns:r="http://schemas.openxmlformats.org/officeDocument/2006/relationships" name="Term Summary" sheetId="2" state="visible" r:id="rId2"/>
    <sheet xmlns:r="http://schemas.openxmlformats.org/officeDocument/2006/relationships" name="Bridge Loan" sheetId="3" state="visible" r:id="rId3"/>
    <sheet xmlns:r="http://schemas.openxmlformats.org/officeDocument/2006/relationships" name="Bridge Asset" sheetId="4" state="visible" r:id="rId4"/>
    <sheet xmlns:r="http://schemas.openxmlformats.org/officeDocument/2006/relationships" name="Term Loan" sheetId="5" state="visible" r:id="rId5"/>
    <sheet xmlns:r="http://schemas.openxmlformats.org/officeDocument/2006/relationships" name="Term Asset" sheetId="6" state="visible" r:id="rId6"/>
    <sheet xmlns:r="http://schemas.openxmlformats.org/officeDocument/2006/relationships" name="Pacific Life" sheetId="7" state="visible" r:id="rId7"/>
    <sheet xmlns:r="http://schemas.openxmlformats.org/officeDocument/2006/relationships" name="SSP Loans" sheetId="8" state="hidden" r:id="rId8"/>
    <sheet xmlns:r="http://schemas.openxmlformats.org/officeDocument/2006/relationships" name="Legacy" sheetId="9" state="hidden" r:id="rId9"/>
    <sheet xmlns:r="http://schemas.openxmlformats.org/officeDocument/2006/relationships" name="Strategy Groupings" sheetId="10" state="hidden" r:id="rId10"/>
  </sheets>
  <definedNames>
    <definedName name="_xlnm._FilterDatabase" localSheetId="2" hidden="1">'Bridge Loan'!$B$5:$BH$1060</definedName>
    <definedName name="_xlnm._FilterDatabase" localSheetId="3" hidden="1">'Bridge Asset'!$B$5:$DF$4695</definedName>
    <definedName name="_xlnm._FilterDatabase" localSheetId="4" hidden="1">'Term Loan'!$B$5:$AH$1192</definedName>
    <definedName name="_xlnm._FilterDatabase" localSheetId="5" hidden="1">'Term Asset'!$B$5:$Y$27156</definedName>
  </definedNames>
  <calcPr calcId="191029" fullCalcOnLoad="1" iterate="1"/>
</workbook>
</file>

<file path=xl/styles.xml><?xml version="1.0" encoding="utf-8"?>
<styleSheet xmlns="http://schemas.openxmlformats.org/spreadsheetml/2006/main">
  <numFmts count="5">
    <numFmt numFmtId="164" formatCode="0.000%"/>
    <numFmt numFmtId="165" formatCode="\$#,##0.00"/>
    <numFmt numFmtId="166" formatCode="0.0000%"/>
    <numFmt numFmtId="167" formatCode="#,###;[Red]\(#,###\);&quot;-&quot;"/>
    <numFmt numFmtId="168" formatCode="#,###.00;[Red]\(#,###.00\);&quot;-&quot;"/>
  </numFmts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FFFFFF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4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ptos Narrow"/>
      <family val="2"/>
      <b val="1"/>
      <color theme="1"/>
      <sz val="18"/>
      <scheme val="minor"/>
    </font>
  </fonts>
  <fills count="8">
    <fill>
      <patternFill/>
    </fill>
    <fill>
      <patternFill patternType="gray125"/>
    </fill>
    <fill>
      <patternFill patternType="solid">
        <fgColor rgb="FF7A7A7A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0" pivotButton="0" quotePrefix="0" xfId="0"/>
    <xf numFmtId="164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0" fontId="0" fillId="0" borderId="5" applyAlignment="1" pivotButton="0" quotePrefix="0" xfId="0">
      <alignment horizontal="center" vertical="center"/>
    </xf>
    <xf numFmtId="10" fontId="0" fillId="0" borderId="6" applyAlignment="1" pivotButton="0" quotePrefix="0" xfId="0">
      <alignment horizontal="center" vertical="center"/>
    </xf>
    <xf numFmtId="10" fontId="0" fillId="0" borderId="7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0" fontId="0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/>
    </xf>
    <xf numFmtId="167" fontId="2" fillId="0" borderId="8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10" fontId="0" fillId="5" borderId="10" applyAlignment="1" pivotButton="0" quotePrefix="0" xfId="0">
      <alignment horizontal="center" vertical="center"/>
    </xf>
    <xf numFmtId="10" fontId="0" fillId="3" borderId="1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7" fontId="0" fillId="0" borderId="0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left"/>
    </xf>
    <xf numFmtId="168" fontId="2" fillId="0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indent="2"/>
    </xf>
    <xf numFmtId="0" fontId="2" fillId="0" borderId="0" applyAlignment="1" pivotButton="0" quotePrefix="0" xfId="0">
      <alignment horizontal="left" vertical="center" indent="2"/>
    </xf>
    <xf numFmtId="0" fontId="2" fillId="4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167" fontId="2" fillId="0" borderId="6" applyAlignment="1" pivotButton="0" quotePrefix="0" xfId="0">
      <alignment horizontal="center" vertical="center"/>
    </xf>
    <xf numFmtId="167" fontId="2" fillId="0" borderId="5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167" fontId="2" fillId="7" borderId="10" applyAlignment="1" pivotButton="0" quotePrefix="0" xfId="0">
      <alignment horizontal="center" vertical="center"/>
    </xf>
    <xf numFmtId="0" fontId="2" fillId="0" borderId="8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167" fontId="2" fillId="0" borderId="2" applyAlignment="1" pivotButton="0" quotePrefix="0" xfId="0">
      <alignment horizontal="center" vertical="center"/>
    </xf>
    <xf numFmtId="10" fontId="0" fillId="0" borderId="9" applyAlignment="1" pivotButton="0" quotePrefix="0" xfId="0">
      <alignment horizontal="center" vertical="center"/>
    </xf>
    <xf numFmtId="10" fontId="0" fillId="0" borderId="11" applyAlignment="1" pivotButton="0" quotePrefix="0" xfId="0">
      <alignment horizontal="center" vertical="center"/>
    </xf>
    <xf numFmtId="10" fontId="0" fillId="0" borderId="4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67" fontId="2" fillId="0" borderId="0" applyAlignment="1" pivotButton="0" quotePrefix="0" xfId="0">
      <alignment horizontal="center" vertical="center"/>
    </xf>
    <xf numFmtId="167" fontId="2" fillId="7" borderId="10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7" fontId="2" fillId="0" borderId="5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7" fontId="2" fillId="0" borderId="8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167" fontId="2" fillId="0" borderId="2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Hayden Keown</author>
  </authors>
  <commentList>
    <comment ref="B14" authorId="0" shapeId="0">
      <text>
        <t>Hayden Keown:
Excludes Legacy Loans in R1</t>
      </text>
    </comment>
  </commentList>
</comments>
</file>

<file path=xl/comments/comment2.xml><?xml version="1.0" encoding="utf-8"?>
<comments xmlns="http://schemas.openxmlformats.org/spreadsheetml/2006/main">
  <authors>
    <author>Hayden Keown</author>
  </authors>
  <commentList>
    <comment ref="DE3" authorId="0" shapeId="0">
      <text>
        <t>Hayden Keown:
Current FQ End Date</t>
      </text>
    </comment>
    <comment ref="DE4" authorId="0" shapeId="0">
      <text>
        <t>Hayden Keown:
Current FQ DQ 90+ Cutoff</t>
      </text>
    </comment>
  </commentList>
</comments>
</file>

<file path=xl/comments/comment3.xml><?xml version="1.0" encoding="utf-8"?>
<comments xmlns="http://schemas.openxmlformats.org/spreadsheetml/2006/main">
  <authors>
    <author>Hayden Keown</author>
  </authors>
  <commentList>
    <comment ref="AE2" authorId="0" shapeId="0">
      <text>
        <t>Hayden Keown:
Current FQ End Date</t>
      </text>
    </comment>
    <comment ref="AE4" authorId="0" shapeId="0">
      <text>
        <t>Hayden Keown:
Current FQ DQ 90+ Cutoff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B2:Q49"/>
  <sheetViews>
    <sheetView showGridLines="0" tabSelected="1" zoomScale="85" zoomScaleNormal="85" workbookViewId="0">
      <selection activeCell="A1" sqref="A1"/>
    </sheetView>
  </sheetViews>
  <sheetFormatPr baseColWidth="8" defaultRowHeight="14.5" outlineLevelRow="1"/>
  <cols>
    <col width="29.453125" customWidth="1" min="2" max="2"/>
    <col width="17.26953125" customWidth="1" min="3" max="12"/>
    <col width="11.7265625" customWidth="1" min="14" max="17"/>
  </cols>
  <sheetData>
    <row r="2" ht="23.5" customHeight="1">
      <c r="B2" s="59" t="inlineStr">
        <is>
          <t>Bridge Portfolio</t>
        </is>
      </c>
    </row>
    <row r="4">
      <c r="B4" s="39" t="inlineStr">
        <is>
          <t>Summary by Segment:</t>
        </is>
      </c>
    </row>
    <row r="5" ht="22.5" customHeight="1" thickBot="1">
      <c r="B5" s="42" t="n"/>
      <c r="C5" s="42" t="inlineStr">
        <is>
          <t>Loan Count</t>
        </is>
      </c>
      <c r="D5" s="42" t="inlineStr">
        <is>
          <t>Asset Count</t>
        </is>
      </c>
      <c r="E5" s="42" t="inlineStr">
        <is>
          <t>Current</t>
        </is>
      </c>
      <c r="F5" s="42" t="inlineStr">
        <is>
          <t>DQ 1-29</t>
        </is>
      </c>
      <c r="G5" s="42" t="inlineStr">
        <is>
          <t>DQ 30-59</t>
        </is>
      </c>
      <c r="H5" s="42" t="inlineStr">
        <is>
          <t>DQ 60-89</t>
        </is>
      </c>
      <c r="I5" s="50" t="inlineStr">
        <is>
          <t>DQ 90+</t>
        </is>
      </c>
      <c r="J5" s="42" t="inlineStr">
        <is>
          <t>REO</t>
        </is>
      </c>
      <c r="K5" s="43" t="inlineStr">
        <is>
          <t>Total</t>
        </is>
      </c>
      <c r="L5" s="42" t="inlineStr">
        <is>
          <t>Total Ex. REO</t>
        </is>
      </c>
      <c r="N5" s="42" t="inlineStr">
        <is>
          <t>DQ 30+ %</t>
        </is>
      </c>
      <c r="O5" s="42" t="inlineStr">
        <is>
          <t>DQ 60+ %</t>
        </is>
      </c>
      <c r="P5" s="42" t="inlineStr">
        <is>
          <t>DQ 90+ %</t>
        </is>
      </c>
      <c r="Q5" s="42" t="inlineStr">
        <is>
          <t>REO %</t>
        </is>
      </c>
    </row>
    <row r="6" ht="15" customHeight="1" thickBot="1">
      <c r="B6" s="39" t="inlineStr">
        <is>
          <t>Legacy</t>
        </is>
      </c>
      <c r="C6" s="61">
        <f>COUNTIFS('Bridge Loan'!$AM:$AM,'Bridge Summary'!$B6)</f>
        <v/>
      </c>
      <c r="D6" s="61">
        <f>COUNTIFS('Bridge Asset'!$BU:$BU,'Bridge Summary'!$B6)</f>
        <v/>
      </c>
      <c r="E6" s="61">
        <f>SUMIFS('Bridge Asset'!$AJ:$AJ,'Bridge Asset'!$BU:$BU,'Bridge Summary'!$B6,'Bridge Asset'!$CR:$CR,'Bridge Summary'!E$5)</f>
        <v/>
      </c>
      <c r="F6" s="61">
        <f>SUMIFS('Bridge Asset'!$AJ:$AJ,'Bridge Asset'!$BU:$BU,'Bridge Summary'!$B6,'Bridge Asset'!$CR:$CR,'Bridge Summary'!F$5)</f>
        <v/>
      </c>
      <c r="G6" s="61">
        <f>SUMIFS('Bridge Asset'!$AJ:$AJ,'Bridge Asset'!$BU:$BU,'Bridge Summary'!$B6,'Bridge Asset'!$CR:$CR,'Bridge Summary'!G$5)</f>
        <v/>
      </c>
      <c r="H6" s="61">
        <f>SUMIFS('Bridge Asset'!$AJ:$AJ,'Bridge Asset'!$BU:$BU,'Bridge Summary'!$B6,'Bridge Asset'!$CR:$CR,'Bridge Summary'!H$5)</f>
        <v/>
      </c>
      <c r="I6" s="62">
        <f>SUMIFS('Bridge Asset'!$AJ:$AJ,'Bridge Asset'!$BU:$BU,'Bridge Summary'!$B6,'Bridge Asset'!$CR:$CR,'Bridge Summary'!I$5)</f>
        <v/>
      </c>
      <c r="J6" s="61">
        <f>SUMIFS('Bridge Asset'!$AJ:$AJ,'Bridge Asset'!$BU:$BU,'Bridge Summary'!$B6,'Bridge Asset'!$CR:$CR,'Bridge Summary'!J$5)</f>
        <v/>
      </c>
      <c r="K6" s="63">
        <f>SUM($E6:$J6)</f>
        <v/>
      </c>
      <c r="L6" s="61">
        <f>+$K6-$J6</f>
        <v/>
      </c>
      <c r="N6" s="12">
        <f>IFERROR(SUM($G6:$I6)/$L6,"N/A")</f>
        <v/>
      </c>
      <c r="O6" s="12">
        <f>IFERROR(SUM($H6:$I6)/$L6,"N/A")</f>
        <v/>
      </c>
      <c r="P6" s="12">
        <f>IFERROR($I6/$L6,"N/A")</f>
        <v/>
      </c>
      <c r="Q6" s="12">
        <f>IFERROR($J6/$K6,"N/A")</f>
        <v/>
      </c>
    </row>
    <row r="7" ht="15" customHeight="1" thickBot="1">
      <c r="B7" s="39" t="inlineStr">
        <is>
          <t>Securitized Bridge</t>
        </is>
      </c>
      <c r="C7" s="61">
        <f>SUM(C$8:C$14)</f>
        <v/>
      </c>
      <c r="D7" s="61">
        <f>SUM(D$8:D$14)</f>
        <v/>
      </c>
      <c r="E7" s="61">
        <f>SUM(E$8:E$14)</f>
        <v/>
      </c>
      <c r="F7" s="61">
        <f>SUM(F$8:F$14)</f>
        <v/>
      </c>
      <c r="G7" s="61">
        <f>SUM(G$8:G$14)</f>
        <v/>
      </c>
      <c r="H7" s="61">
        <f>SUM(H$8:H$14)</f>
        <v/>
      </c>
      <c r="I7" s="61">
        <f>SUM(I$8:I$14)</f>
        <v/>
      </c>
      <c r="J7" s="61">
        <f>SUM(J$8:J$14)</f>
        <v/>
      </c>
      <c r="K7" s="63">
        <f>SUM($E7:$J7)</f>
        <v/>
      </c>
      <c r="L7" s="61">
        <f>+$K7-$J7</f>
        <v/>
      </c>
      <c r="N7" s="12">
        <f>IFERROR(SUM($G7:$I7)/$L7,"N/A")</f>
        <v/>
      </c>
      <c r="O7" s="12">
        <f>IFERROR(SUM($H7:$I7)/$L7,"N/A")</f>
        <v/>
      </c>
      <c r="P7" s="23">
        <f>IFERROR($I7/$L7,"N/A")</f>
        <v/>
      </c>
      <c r="Q7" s="12">
        <f>IFERROR($J7/$K7,"N/A")</f>
        <v/>
      </c>
    </row>
    <row r="8" outlineLevel="1" ht="15" customHeight="1">
      <c r="B8" s="41" t="inlineStr">
        <is>
          <t>CAFL 2024-RTL1 CPP</t>
        </is>
      </c>
      <c r="C8" s="64">
        <f>COUNTIFS('Bridge Loan'!$AM:$AM,'Bridge Summary'!$B$7,'Bridge Loan'!$D:$D,'Bridge Summary'!$B8)</f>
        <v/>
      </c>
      <c r="D8" s="64">
        <f>COUNTIFS('Bridge Asset'!$BU:$BU,'Bridge Summary'!$B$7,'Bridge Asset'!$D:$D,'Bridge Summary'!$B8)</f>
        <v/>
      </c>
      <c r="E8" s="64">
        <f>SUMIFS('Bridge Asset'!$AJ:$AJ,'Bridge Asset'!$BU:$BU,'Bridge Summary'!$B$7,'Bridge Asset'!$D:$D,'Bridge Summary'!$B8,'Bridge Asset'!$CR:$CR,'Bridge Summary'!E$5)</f>
        <v/>
      </c>
      <c r="F8" s="64">
        <f>SUMIFS('Bridge Asset'!$AJ:$AJ,'Bridge Asset'!$BU:$BU,'Bridge Summary'!$B$7,'Bridge Asset'!$D:$D,'Bridge Summary'!$B8,'Bridge Asset'!$CR:$CR,'Bridge Summary'!F$5)</f>
        <v/>
      </c>
      <c r="G8" s="64">
        <f>SUMIFS('Bridge Asset'!$AJ:$AJ,'Bridge Asset'!$BU:$BU,'Bridge Summary'!$B$7,'Bridge Asset'!$D:$D,'Bridge Summary'!$B8,'Bridge Asset'!$CR:$CR,'Bridge Summary'!G$5)</f>
        <v/>
      </c>
      <c r="H8" s="64">
        <f>SUMIFS('Bridge Asset'!$AJ:$AJ,'Bridge Asset'!$BU:$BU,'Bridge Summary'!$B$7,'Bridge Asset'!$D:$D,'Bridge Summary'!$B8,'Bridge Asset'!$CR:$CR,'Bridge Summary'!H$5)</f>
        <v/>
      </c>
      <c r="I8" s="64">
        <f>SUMIFS('Bridge Asset'!$AJ:$AJ,'Bridge Asset'!$BU:$BU,'Bridge Summary'!$B$7,'Bridge Asset'!$D:$D,'Bridge Summary'!$B8,'Bridge Asset'!$CR:$CR,'Bridge Summary'!I$5)</f>
        <v/>
      </c>
      <c r="J8" s="64">
        <f>SUMIFS('Bridge Asset'!$AJ:$AJ,'Bridge Asset'!$BU:$BU,'Bridge Summary'!$B$7,'Bridge Asset'!$D:$D,'Bridge Summary'!$B8,'Bridge Asset'!$CR:$CR,'Bridge Summary'!J$5)</f>
        <v/>
      </c>
      <c r="K8" s="65">
        <f>SUM($E8:$J8)</f>
        <v/>
      </c>
      <c r="L8" s="64">
        <f>+$K8-$J8</f>
        <v/>
      </c>
      <c r="N8" s="12">
        <f>IFERROR(SUM($G8:$I8)/$L8,"N/A")</f>
        <v/>
      </c>
      <c r="O8" s="12">
        <f>IFERROR(SUM($H8:$I8)/$L8,"N/A")</f>
        <v/>
      </c>
      <c r="P8" s="12">
        <f>IFERROR($I8/$L8,"N/A")</f>
        <v/>
      </c>
      <c r="Q8" s="12">
        <f>IFERROR($J8/$K8,"N/A")</f>
        <v/>
      </c>
    </row>
    <row r="9" outlineLevel="1" ht="15" customHeight="1">
      <c r="B9" s="41" t="inlineStr">
        <is>
          <t>CAFL 2024-RTL1 CV</t>
        </is>
      </c>
      <c r="C9" s="64">
        <f>COUNTIFS('Bridge Loan'!$AM:$AM,'Bridge Summary'!$B$7,'Bridge Loan'!$D:$D,'Bridge Summary'!$B9)</f>
        <v/>
      </c>
      <c r="D9" s="64">
        <f>COUNTIFS('Bridge Asset'!$BU:$BU,'Bridge Summary'!$B$7,'Bridge Asset'!$D:$D,'Bridge Summary'!$B9)</f>
        <v/>
      </c>
      <c r="E9" s="64">
        <f>SUMIFS('Bridge Asset'!$AJ:$AJ,'Bridge Asset'!$BU:$BU,'Bridge Summary'!$B$7,'Bridge Asset'!$D:$D,'Bridge Summary'!$B9,'Bridge Asset'!$CR:$CR,'Bridge Summary'!E$5)</f>
        <v/>
      </c>
      <c r="F9" s="64">
        <f>SUMIFS('Bridge Asset'!$AJ:$AJ,'Bridge Asset'!$BU:$BU,'Bridge Summary'!$B$7,'Bridge Asset'!$D:$D,'Bridge Summary'!$B9,'Bridge Asset'!$CR:$CR,'Bridge Summary'!F$5)</f>
        <v/>
      </c>
      <c r="G9" s="64">
        <f>SUMIFS('Bridge Asset'!$AJ:$AJ,'Bridge Asset'!$BU:$BU,'Bridge Summary'!$B$7,'Bridge Asset'!$D:$D,'Bridge Summary'!$B9,'Bridge Asset'!$CR:$CR,'Bridge Summary'!G$5)</f>
        <v/>
      </c>
      <c r="H9" s="64">
        <f>SUMIFS('Bridge Asset'!$AJ:$AJ,'Bridge Asset'!$BU:$BU,'Bridge Summary'!$B$7,'Bridge Asset'!$D:$D,'Bridge Summary'!$B9,'Bridge Asset'!$CR:$CR,'Bridge Summary'!H$5)</f>
        <v/>
      </c>
      <c r="I9" s="64">
        <f>SUMIFS('Bridge Asset'!$AJ:$AJ,'Bridge Asset'!$BU:$BU,'Bridge Summary'!$B$7,'Bridge Asset'!$D:$D,'Bridge Summary'!$B9,'Bridge Asset'!$CR:$CR,'Bridge Summary'!I$5)</f>
        <v/>
      </c>
      <c r="J9" s="64">
        <f>SUMIFS('Bridge Asset'!$AJ:$AJ,'Bridge Asset'!$BU:$BU,'Bridge Summary'!$B$7,'Bridge Asset'!$D:$D,'Bridge Summary'!$B9,'Bridge Asset'!$CR:$CR,'Bridge Summary'!J$5)</f>
        <v/>
      </c>
      <c r="K9" s="65">
        <f>SUM($E9:$J9)</f>
        <v/>
      </c>
      <c r="L9" s="64">
        <f>+$K9-$J9</f>
        <v/>
      </c>
      <c r="N9" s="12">
        <f>IFERROR(SUM($G9:$I9)/$L9,"N/A")</f>
        <v/>
      </c>
      <c r="O9" s="12">
        <f>IFERROR(SUM($H9:$I9)/$L9,"N/A")</f>
        <v/>
      </c>
      <c r="P9" s="12">
        <f>IFERROR($I9/$L9,"N/A")</f>
        <v/>
      </c>
      <c r="Q9" s="12">
        <f>IFERROR($J9/$K9,"N/A")</f>
        <v/>
      </c>
    </row>
    <row r="10" outlineLevel="1" ht="15" customHeight="1">
      <c r="B10" s="41" t="inlineStr">
        <is>
          <t>CAFL 2025-RRTL1 CPP</t>
        </is>
      </c>
      <c r="C10" s="64">
        <f>COUNTIFS('Bridge Loan'!$AM:$AM,'Bridge Summary'!$B$7,'Bridge Loan'!$D:$D,'Bridge Summary'!$B10)</f>
        <v/>
      </c>
      <c r="D10" s="64">
        <f>COUNTIFS('Bridge Asset'!$BU:$BU,'Bridge Summary'!$B$7,'Bridge Asset'!$D:$D,'Bridge Summary'!$B10)</f>
        <v/>
      </c>
      <c r="E10" s="64">
        <f>SUMIFS('Bridge Asset'!$AJ:$AJ,'Bridge Asset'!$BU:$BU,'Bridge Summary'!$B$7,'Bridge Asset'!$D:$D,'Bridge Summary'!$B10,'Bridge Asset'!$CR:$CR,'Bridge Summary'!E$5)</f>
        <v/>
      </c>
      <c r="F10" s="64">
        <f>SUMIFS('Bridge Asset'!$AJ:$AJ,'Bridge Asset'!$BU:$BU,'Bridge Summary'!$B$7,'Bridge Asset'!$D:$D,'Bridge Summary'!$B10,'Bridge Asset'!$CR:$CR,'Bridge Summary'!F$5)</f>
        <v/>
      </c>
      <c r="G10" s="64">
        <f>SUMIFS('Bridge Asset'!$AJ:$AJ,'Bridge Asset'!$BU:$BU,'Bridge Summary'!$B$7,'Bridge Asset'!$D:$D,'Bridge Summary'!$B10,'Bridge Asset'!$CR:$CR,'Bridge Summary'!G$5)</f>
        <v/>
      </c>
      <c r="H10" s="64">
        <f>SUMIFS('Bridge Asset'!$AJ:$AJ,'Bridge Asset'!$BU:$BU,'Bridge Summary'!$B$7,'Bridge Asset'!$D:$D,'Bridge Summary'!$B10,'Bridge Asset'!$CR:$CR,'Bridge Summary'!H$5)</f>
        <v/>
      </c>
      <c r="I10" s="64">
        <f>SUMIFS('Bridge Asset'!$AJ:$AJ,'Bridge Asset'!$BU:$BU,'Bridge Summary'!$B$7,'Bridge Asset'!$D:$D,'Bridge Summary'!$B10,'Bridge Asset'!$CR:$CR,'Bridge Summary'!I$5)</f>
        <v/>
      </c>
      <c r="J10" s="64">
        <f>SUMIFS('Bridge Asset'!$AJ:$AJ,'Bridge Asset'!$BU:$BU,'Bridge Summary'!$B$7,'Bridge Asset'!$D:$D,'Bridge Summary'!$B10,'Bridge Asset'!$CR:$CR,'Bridge Summary'!J$5)</f>
        <v/>
      </c>
      <c r="K10" s="65">
        <f>SUM($E10:$J10)</f>
        <v/>
      </c>
      <c r="L10" s="64">
        <f>+$K10-$J10</f>
        <v/>
      </c>
      <c r="N10" s="12">
        <f>IFERROR(SUM($G10:$I10)/$L10,"N/A")</f>
        <v/>
      </c>
      <c r="O10" s="12">
        <f>IFERROR(SUM($H10:$I10)/$L10,"N/A")</f>
        <v/>
      </c>
      <c r="P10" s="12">
        <f>IFERROR($I10/$L10,"N/A")</f>
        <v/>
      </c>
      <c r="Q10" s="12">
        <f>IFERROR($J10/$K10,"N/A")</f>
        <v/>
      </c>
    </row>
    <row r="11" outlineLevel="1" ht="15" customHeight="1">
      <c r="B11" s="41" t="inlineStr">
        <is>
          <t>CAFL 2025-RRTL1 CV</t>
        </is>
      </c>
      <c r="C11" s="64">
        <f>COUNTIFS('Bridge Loan'!$AM:$AM,'Bridge Summary'!$B$7,'Bridge Loan'!$D:$D,'Bridge Summary'!$B11)</f>
        <v/>
      </c>
      <c r="D11" s="64">
        <f>COUNTIFS('Bridge Asset'!$BU:$BU,'Bridge Summary'!$B$7,'Bridge Asset'!$D:$D,'Bridge Summary'!$B11)</f>
        <v/>
      </c>
      <c r="E11" s="64">
        <f>SUMIFS('Bridge Asset'!$AJ:$AJ,'Bridge Asset'!$BU:$BU,'Bridge Summary'!$B$7,'Bridge Asset'!$D:$D,'Bridge Summary'!$B11,'Bridge Asset'!$CR:$CR,'Bridge Summary'!E$5)</f>
        <v/>
      </c>
      <c r="F11" s="64">
        <f>SUMIFS('Bridge Asset'!$AJ:$AJ,'Bridge Asset'!$BU:$BU,'Bridge Summary'!$B$7,'Bridge Asset'!$D:$D,'Bridge Summary'!$B11,'Bridge Asset'!$CR:$CR,'Bridge Summary'!F$5)</f>
        <v/>
      </c>
      <c r="G11" s="64">
        <f>SUMIFS('Bridge Asset'!$AJ:$AJ,'Bridge Asset'!$BU:$BU,'Bridge Summary'!$B$7,'Bridge Asset'!$D:$D,'Bridge Summary'!$B11,'Bridge Asset'!$CR:$CR,'Bridge Summary'!G$5)</f>
        <v/>
      </c>
      <c r="H11" s="64">
        <f>SUMIFS('Bridge Asset'!$AJ:$AJ,'Bridge Asset'!$BU:$BU,'Bridge Summary'!$B$7,'Bridge Asset'!$D:$D,'Bridge Summary'!$B11,'Bridge Asset'!$CR:$CR,'Bridge Summary'!H$5)</f>
        <v/>
      </c>
      <c r="I11" s="64">
        <f>SUMIFS('Bridge Asset'!$AJ:$AJ,'Bridge Asset'!$BU:$BU,'Bridge Summary'!$B$7,'Bridge Asset'!$D:$D,'Bridge Summary'!$B11,'Bridge Asset'!$CR:$CR,'Bridge Summary'!I$5)</f>
        <v/>
      </c>
      <c r="J11" s="64">
        <f>SUMIFS('Bridge Asset'!$AJ:$AJ,'Bridge Asset'!$BU:$BU,'Bridge Summary'!$B$7,'Bridge Asset'!$D:$D,'Bridge Summary'!$B11,'Bridge Asset'!$CR:$CR,'Bridge Summary'!J$5)</f>
        <v/>
      </c>
      <c r="K11" s="65">
        <f>SUM($E11:$J11)</f>
        <v/>
      </c>
      <c r="L11" s="64">
        <f>+$K11-$J11</f>
        <v/>
      </c>
      <c r="N11" s="12">
        <f>IFERROR(SUM($G11:$I11)/$L11,"N/A")</f>
        <v/>
      </c>
      <c r="O11" s="12">
        <f>IFERROR(SUM($H11:$I11)/$L11,"N/A")</f>
        <v/>
      </c>
      <c r="P11" s="12">
        <f>IFERROR($I11/$L11,"N/A")</f>
        <v/>
      </c>
      <c r="Q11" s="12">
        <f>IFERROR($J11/$K11,"N/A")</f>
        <v/>
      </c>
    </row>
    <row r="12" outlineLevel="1" ht="15" customHeight="1">
      <c r="B12" s="41" t="inlineStr">
        <is>
          <t>CAFL 2025-RRTL2 CPP</t>
        </is>
      </c>
      <c r="C12" s="64">
        <f>COUNTIFS('Bridge Loan'!$AM:$AM,'Bridge Summary'!$B$7,'Bridge Loan'!$D:$D,'Bridge Summary'!$B12)</f>
        <v/>
      </c>
      <c r="D12" s="64">
        <f>COUNTIFS('Bridge Asset'!$BU:$BU,'Bridge Summary'!$B$7,'Bridge Asset'!$D:$D,'Bridge Summary'!$B12)</f>
        <v/>
      </c>
      <c r="E12" s="64">
        <f>SUMIFS('Bridge Asset'!$AJ:$AJ,'Bridge Asset'!$BU:$BU,'Bridge Summary'!$B$7,'Bridge Asset'!$D:$D,'Bridge Summary'!$B12,'Bridge Asset'!$CR:$CR,'Bridge Summary'!E$5)</f>
        <v/>
      </c>
      <c r="F12" s="64">
        <f>SUMIFS('Bridge Asset'!$AJ:$AJ,'Bridge Asset'!$BU:$BU,'Bridge Summary'!$B$7,'Bridge Asset'!$D:$D,'Bridge Summary'!$B12,'Bridge Asset'!$CR:$CR,'Bridge Summary'!F$5)</f>
        <v/>
      </c>
      <c r="G12" s="64">
        <f>SUMIFS('Bridge Asset'!$AJ:$AJ,'Bridge Asset'!$BU:$BU,'Bridge Summary'!$B$7,'Bridge Asset'!$D:$D,'Bridge Summary'!$B12,'Bridge Asset'!$CR:$CR,'Bridge Summary'!G$5)</f>
        <v/>
      </c>
      <c r="H12" s="64">
        <f>SUMIFS('Bridge Asset'!$AJ:$AJ,'Bridge Asset'!$BU:$BU,'Bridge Summary'!$B$7,'Bridge Asset'!$D:$D,'Bridge Summary'!$B12,'Bridge Asset'!$CR:$CR,'Bridge Summary'!H$5)</f>
        <v/>
      </c>
      <c r="I12" s="64">
        <f>SUMIFS('Bridge Asset'!$AJ:$AJ,'Bridge Asset'!$BU:$BU,'Bridge Summary'!$B$7,'Bridge Asset'!$D:$D,'Bridge Summary'!$B12,'Bridge Asset'!$CR:$CR,'Bridge Summary'!I$5)</f>
        <v/>
      </c>
      <c r="J12" s="64">
        <f>SUMIFS('Bridge Asset'!$AJ:$AJ,'Bridge Asset'!$BU:$BU,'Bridge Summary'!$B$7,'Bridge Asset'!$D:$D,'Bridge Summary'!$B12,'Bridge Asset'!$CR:$CR,'Bridge Summary'!J$5)</f>
        <v/>
      </c>
      <c r="K12" s="65">
        <f>SUM($E12:$J12)</f>
        <v/>
      </c>
      <c r="L12" s="64">
        <f>+$K12-$J12</f>
        <v/>
      </c>
      <c r="N12" s="12">
        <f>IFERROR(SUM($G12:$I12)/$L12,"N/A")</f>
        <v/>
      </c>
      <c r="O12" s="12">
        <f>IFERROR(SUM($H12:$I12)/$L12,"N/A")</f>
        <v/>
      </c>
      <c r="P12" s="12">
        <f>IFERROR($I12/$L12,"N/A")</f>
        <v/>
      </c>
      <c r="Q12" s="12">
        <f>IFERROR($J12/$K12,"N/A")</f>
        <v/>
      </c>
    </row>
    <row r="13" outlineLevel="1" ht="15" customHeight="1">
      <c r="B13" s="41" t="inlineStr">
        <is>
          <t>CAFL 2025-RRTL2 CV</t>
        </is>
      </c>
      <c r="C13" s="64">
        <f>COUNTIFS('Bridge Loan'!$AM:$AM,'Bridge Summary'!$B$7,'Bridge Loan'!$D:$D,'Bridge Summary'!$B13)</f>
        <v/>
      </c>
      <c r="D13" s="64">
        <f>COUNTIFS('Bridge Asset'!$BU:$BU,'Bridge Summary'!$B$7,'Bridge Asset'!$D:$D,'Bridge Summary'!$B13)</f>
        <v/>
      </c>
      <c r="E13" s="64">
        <f>SUMIFS('Bridge Asset'!$AJ:$AJ,'Bridge Asset'!$BU:$BU,'Bridge Summary'!$B$7,'Bridge Asset'!$D:$D,'Bridge Summary'!$B13,'Bridge Asset'!$CR:$CR,'Bridge Summary'!E$5)</f>
        <v/>
      </c>
      <c r="F13" s="64">
        <f>SUMIFS('Bridge Asset'!$AJ:$AJ,'Bridge Asset'!$BU:$BU,'Bridge Summary'!$B$7,'Bridge Asset'!$D:$D,'Bridge Summary'!$B13,'Bridge Asset'!$CR:$CR,'Bridge Summary'!F$5)</f>
        <v/>
      </c>
      <c r="G13" s="64">
        <f>SUMIFS('Bridge Asset'!$AJ:$AJ,'Bridge Asset'!$BU:$BU,'Bridge Summary'!$B$7,'Bridge Asset'!$D:$D,'Bridge Summary'!$B13,'Bridge Asset'!$CR:$CR,'Bridge Summary'!G$5)</f>
        <v/>
      </c>
      <c r="H13" s="64">
        <f>SUMIFS('Bridge Asset'!$AJ:$AJ,'Bridge Asset'!$BU:$BU,'Bridge Summary'!$B$7,'Bridge Asset'!$D:$D,'Bridge Summary'!$B13,'Bridge Asset'!$CR:$CR,'Bridge Summary'!H$5)</f>
        <v/>
      </c>
      <c r="I13" s="64">
        <f>SUMIFS('Bridge Asset'!$AJ:$AJ,'Bridge Asset'!$BU:$BU,'Bridge Summary'!$B$7,'Bridge Asset'!$D:$D,'Bridge Summary'!$B13,'Bridge Asset'!$CR:$CR,'Bridge Summary'!I$5)</f>
        <v/>
      </c>
      <c r="J13" s="64">
        <f>SUMIFS('Bridge Asset'!$AJ:$AJ,'Bridge Asset'!$BU:$BU,'Bridge Summary'!$B$7,'Bridge Asset'!$D:$D,'Bridge Summary'!$B13,'Bridge Asset'!$CR:$CR,'Bridge Summary'!J$5)</f>
        <v/>
      </c>
      <c r="K13" s="65">
        <f>SUM($E13:$J13)</f>
        <v/>
      </c>
      <c r="L13" s="64">
        <f>+$K13-$J13</f>
        <v/>
      </c>
      <c r="N13" s="12">
        <f>IFERROR(SUM($G13:$I13)/$L13,"N/A")</f>
        <v/>
      </c>
      <c r="O13" s="12">
        <f>IFERROR(SUM($H13:$I13)/$L13,"N/A")</f>
        <v/>
      </c>
      <c r="P13" s="12">
        <f>IFERROR($I13/$L13,"N/A")</f>
        <v/>
      </c>
      <c r="Q13" s="12">
        <f>IFERROR($J13/$K13,"N/A")</f>
        <v/>
      </c>
    </row>
    <row r="14" outlineLevel="1" ht="15" customHeight="1">
      <c r="B14" s="41" t="inlineStr">
        <is>
          <t>CAFL 2026-R1 CV</t>
        </is>
      </c>
      <c r="C14" s="64">
        <f>COUNTIFS('Bridge Loan'!$AM:$AM,'Bridge Summary'!$B$7,'Bridge Loan'!$D:$D,'Bridge Summary'!$B14)</f>
        <v/>
      </c>
      <c r="D14" s="64">
        <f>COUNTIFS('Bridge Asset'!$BU:$BU,'Bridge Summary'!$B$7,'Bridge Asset'!$D:$D,'Bridge Summary'!$B14)</f>
        <v/>
      </c>
      <c r="E14" s="64">
        <f>SUMIFS('Bridge Asset'!$AJ:$AJ,'Bridge Asset'!$BU:$BU,'Bridge Summary'!$B$7,'Bridge Asset'!$D:$D,'Bridge Summary'!$B14,'Bridge Asset'!$CR:$CR,'Bridge Summary'!E$5)</f>
        <v/>
      </c>
      <c r="F14" s="64">
        <f>SUMIFS('Bridge Asset'!$AJ:$AJ,'Bridge Asset'!$BU:$BU,'Bridge Summary'!$B$7,'Bridge Asset'!$D:$D,'Bridge Summary'!$B14,'Bridge Asset'!$CR:$CR,'Bridge Summary'!F$5)</f>
        <v/>
      </c>
      <c r="G14" s="64">
        <f>SUMIFS('Bridge Asset'!$AJ:$AJ,'Bridge Asset'!$BU:$BU,'Bridge Summary'!$B$7,'Bridge Asset'!$D:$D,'Bridge Summary'!$B14,'Bridge Asset'!$CR:$CR,'Bridge Summary'!G$5)</f>
        <v/>
      </c>
      <c r="H14" s="64">
        <f>SUMIFS('Bridge Asset'!$AJ:$AJ,'Bridge Asset'!$BU:$BU,'Bridge Summary'!$B$7,'Bridge Asset'!$D:$D,'Bridge Summary'!$B14,'Bridge Asset'!$CR:$CR,'Bridge Summary'!H$5)</f>
        <v/>
      </c>
      <c r="I14" s="64">
        <f>SUMIFS('Bridge Asset'!$AJ:$AJ,'Bridge Asset'!$BU:$BU,'Bridge Summary'!$B$7,'Bridge Asset'!$D:$D,'Bridge Summary'!$B14,'Bridge Asset'!$CR:$CR,'Bridge Summary'!I$5)</f>
        <v/>
      </c>
      <c r="J14" s="64">
        <f>SUMIFS('Bridge Asset'!$AJ:$AJ,'Bridge Asset'!$BU:$BU,'Bridge Summary'!$B$7,'Bridge Asset'!$D:$D,'Bridge Summary'!$B14,'Bridge Asset'!$CR:$CR,'Bridge Summary'!J$5)</f>
        <v/>
      </c>
      <c r="K14" s="65">
        <f>SUM($E14:$J14)</f>
        <v/>
      </c>
      <c r="L14" s="64">
        <f>+$K14-$J14</f>
        <v/>
      </c>
      <c r="N14" s="12">
        <f>IFERROR(SUM($G14:$I14)/$L14,"N/A")</f>
        <v/>
      </c>
      <c r="O14" s="12">
        <f>IFERROR(SUM($H14:$I14)/$L14,"N/A")</f>
        <v/>
      </c>
      <c r="P14" s="12">
        <f>IFERROR($I14/$L14,"N/A")</f>
        <v/>
      </c>
      <c r="Q14" s="12">
        <f>IFERROR($J14/$K14,"N/A")</f>
        <v/>
      </c>
    </row>
    <row r="15" ht="15" customHeight="1">
      <c r="B15" s="39" t="inlineStr">
        <is>
          <t>Mortgage Banking</t>
        </is>
      </c>
      <c r="C15" s="61">
        <f>COUNTIFS('Bridge Loan'!$AM:$AM,'Bridge Summary'!$B15)</f>
        <v/>
      </c>
      <c r="D15" s="61">
        <f>COUNTIFS('Bridge Asset'!$BU:$BU,'Bridge Summary'!$B15)</f>
        <v/>
      </c>
      <c r="E15" s="61">
        <f>SUMIFS('Bridge Asset'!$AJ:$AJ,'Bridge Asset'!$BU:$BU,'Bridge Summary'!$B15,'Bridge Asset'!$CR:$CR,'Bridge Summary'!E$5)</f>
        <v/>
      </c>
      <c r="F15" s="61">
        <f>SUMIFS('Bridge Asset'!$AJ:$AJ,'Bridge Asset'!$BU:$BU,'Bridge Summary'!$B15,'Bridge Asset'!$CR:$CR,'Bridge Summary'!F$5)</f>
        <v/>
      </c>
      <c r="G15" s="61">
        <f>SUMIFS('Bridge Asset'!$AJ:$AJ,'Bridge Asset'!$BU:$BU,'Bridge Summary'!$B15,'Bridge Asset'!$CR:$CR,'Bridge Summary'!G$5)</f>
        <v/>
      </c>
      <c r="H15" s="61">
        <f>SUMIFS('Bridge Asset'!$AJ:$AJ,'Bridge Asset'!$BU:$BU,'Bridge Summary'!$B15,'Bridge Asset'!$CR:$CR,'Bridge Summary'!H$5)</f>
        <v/>
      </c>
      <c r="I15" s="61">
        <f>SUMIFS('Bridge Asset'!$AJ:$AJ,'Bridge Asset'!$BU:$BU,'Bridge Summary'!$B15,'Bridge Asset'!$CR:$CR,'Bridge Summary'!I$5)</f>
        <v/>
      </c>
      <c r="J15" s="61">
        <f>SUMIFS('Bridge Asset'!$AJ:$AJ,'Bridge Asset'!$BU:$BU,'Bridge Summary'!$B15,'Bridge Asset'!$CR:$CR,'Bridge Summary'!J$5)</f>
        <v/>
      </c>
      <c r="K15" s="63">
        <f>SUM($E15:$J15)</f>
        <v/>
      </c>
      <c r="L15" s="61">
        <f>+$K15-$J15</f>
        <v/>
      </c>
      <c r="N15" s="12">
        <f>IFERROR(SUM($G15:$I15)/$L15,"N/A")</f>
        <v/>
      </c>
      <c r="O15" s="12">
        <f>IFERROR(SUM($H15:$I15)/$L15,"N/A")</f>
        <v/>
      </c>
      <c r="P15" s="12">
        <f>IFERROR($I15/$L15,"N/A")</f>
        <v/>
      </c>
      <c r="Q15" s="12">
        <f>IFERROR($J15/$K15,"N/A")</f>
        <v/>
      </c>
    </row>
    <row r="16" ht="15" customHeight="1">
      <c r="B16" s="39" t="inlineStr">
        <is>
          <t>SSP</t>
        </is>
      </c>
      <c r="C16" s="61">
        <f>COUNTIFS('Bridge Loan'!$AM:$AM,'Bridge Summary'!$B16)</f>
        <v/>
      </c>
      <c r="D16" s="61">
        <f>COUNTIFS('Bridge Asset'!$BU:$BU,'Bridge Summary'!$B16)</f>
        <v/>
      </c>
      <c r="E16" s="61">
        <f>SUMIFS('Bridge Asset'!$AJ:$AJ,'Bridge Asset'!$BU:$BU,'Bridge Summary'!$B16,'Bridge Asset'!$CR:$CR,'Bridge Summary'!E$5)</f>
        <v/>
      </c>
      <c r="F16" s="61">
        <f>SUMIFS('Bridge Asset'!$AJ:$AJ,'Bridge Asset'!$BU:$BU,'Bridge Summary'!$B16,'Bridge Asset'!$CR:$CR,'Bridge Summary'!F$5)</f>
        <v/>
      </c>
      <c r="G16" s="61">
        <f>SUMIFS('Bridge Asset'!$AJ:$AJ,'Bridge Asset'!$BU:$BU,'Bridge Summary'!$B16,'Bridge Asset'!$CR:$CR,'Bridge Summary'!G$5)</f>
        <v/>
      </c>
      <c r="H16" s="61">
        <f>SUMIFS('Bridge Asset'!$AJ:$AJ,'Bridge Asset'!$BU:$BU,'Bridge Summary'!$B16,'Bridge Asset'!$CR:$CR,'Bridge Summary'!H$5)</f>
        <v/>
      </c>
      <c r="I16" s="61">
        <f>SUMIFS('Bridge Asset'!$AJ:$AJ,'Bridge Asset'!$BU:$BU,'Bridge Summary'!$B16,'Bridge Asset'!$CR:$CR,'Bridge Summary'!I$5)</f>
        <v/>
      </c>
      <c r="J16" s="61">
        <f>SUMIFS('Bridge Asset'!$AJ:$AJ,'Bridge Asset'!$BU:$BU,'Bridge Summary'!$B16,'Bridge Asset'!$CR:$CR,'Bridge Summary'!J$5)</f>
        <v/>
      </c>
      <c r="K16" s="63">
        <f>SUM($E16:$J16)</f>
        <v/>
      </c>
      <c r="L16" s="61">
        <f>+$K16-$J16</f>
        <v/>
      </c>
      <c r="N16" s="12">
        <f>IFERROR(SUM($G16:$I16)/$L16,"N/A")</f>
        <v/>
      </c>
      <c r="O16" s="12">
        <f>IFERROR(SUM($H16:$I16)/$L16,"N/A")</f>
        <v/>
      </c>
      <c r="P16" s="12">
        <f>IFERROR($I16/$L16,"N/A")</f>
        <v/>
      </c>
      <c r="Q16" s="12">
        <f>IFERROR($J16/$K16,"N/A")</f>
        <v/>
      </c>
    </row>
    <row r="17" ht="15" customHeight="1">
      <c r="B17" s="39" t="inlineStr">
        <is>
          <t>CPP JV</t>
        </is>
      </c>
      <c r="C17" s="61">
        <f>COUNTIFS('Bridge Loan'!$AM:$AM,'Bridge Summary'!$B17)</f>
        <v/>
      </c>
      <c r="D17" s="61">
        <f>COUNTIFS('Bridge Asset'!$BU:$BU,'Bridge Summary'!$B17)</f>
        <v/>
      </c>
      <c r="E17" s="61">
        <f>SUMIFS('Bridge Asset'!$AJ:$AJ,'Bridge Asset'!$BU:$BU,'Bridge Summary'!$B17,'Bridge Asset'!$CR:$CR,'Bridge Summary'!E$5)</f>
        <v/>
      </c>
      <c r="F17" s="61">
        <f>SUMIFS('Bridge Asset'!$AJ:$AJ,'Bridge Asset'!$BU:$BU,'Bridge Summary'!$B17,'Bridge Asset'!$CR:$CR,'Bridge Summary'!F$5)</f>
        <v/>
      </c>
      <c r="G17" s="61">
        <f>SUMIFS('Bridge Asset'!$AJ:$AJ,'Bridge Asset'!$BU:$BU,'Bridge Summary'!$B17,'Bridge Asset'!$CR:$CR,'Bridge Summary'!G$5)</f>
        <v/>
      </c>
      <c r="H17" s="61">
        <f>SUMIFS('Bridge Asset'!$AJ:$AJ,'Bridge Asset'!$BU:$BU,'Bridge Summary'!$B17,'Bridge Asset'!$CR:$CR,'Bridge Summary'!H$5)</f>
        <v/>
      </c>
      <c r="I17" s="61">
        <f>SUMIFS('Bridge Asset'!$AJ:$AJ,'Bridge Asset'!$BU:$BU,'Bridge Summary'!$B17,'Bridge Asset'!$CR:$CR,'Bridge Summary'!I$5)</f>
        <v/>
      </c>
      <c r="J17" s="61">
        <f>SUMIFS('Bridge Asset'!$AJ:$AJ,'Bridge Asset'!$BU:$BU,'Bridge Summary'!$B17,'Bridge Asset'!$CR:$CR,'Bridge Summary'!J$5)</f>
        <v/>
      </c>
      <c r="K17" s="63">
        <f>SUM($E17:$J17)</f>
        <v/>
      </c>
      <c r="L17" s="61">
        <f>+$K17-$J17</f>
        <v/>
      </c>
      <c r="N17" s="12">
        <f>IFERROR(SUM($G17:$I17)/$L17,"N/A")</f>
        <v/>
      </c>
      <c r="O17" s="12">
        <f>IFERROR(SUM($H17:$I17)/$L17,"N/A")</f>
        <v/>
      </c>
      <c r="P17" s="12">
        <f>IFERROR($I17/$L17,"N/A")</f>
        <v/>
      </c>
      <c r="Q17" s="12">
        <f>IFERROR($J17/$K17,"N/A")</f>
        <v/>
      </c>
    </row>
    <row r="18" ht="15" customHeight="1">
      <c r="B18" s="39" t="inlineStr">
        <is>
          <t>Oaktree JV</t>
        </is>
      </c>
      <c r="C18" s="61">
        <f>COUNTIFS('Bridge Loan'!$AM:$AM,'Bridge Summary'!$B18)</f>
        <v/>
      </c>
      <c r="D18" s="61">
        <f>COUNTIFS('Bridge Asset'!$BU:$BU,'Bridge Summary'!$B18)</f>
        <v/>
      </c>
      <c r="E18" s="61">
        <f>SUMIFS('Bridge Asset'!$AJ:$AJ,'Bridge Asset'!$BU:$BU,'Bridge Summary'!$B18,'Bridge Asset'!$CR:$CR,'Bridge Summary'!E$5)</f>
        <v/>
      </c>
      <c r="F18" s="61">
        <f>SUMIFS('Bridge Asset'!$AJ:$AJ,'Bridge Asset'!$BU:$BU,'Bridge Summary'!$B18,'Bridge Asset'!$CR:$CR,'Bridge Summary'!F$5)</f>
        <v/>
      </c>
      <c r="G18" s="61">
        <f>SUMIFS('Bridge Asset'!$AJ:$AJ,'Bridge Asset'!$BU:$BU,'Bridge Summary'!$B18,'Bridge Asset'!$CR:$CR,'Bridge Summary'!G$5)</f>
        <v/>
      </c>
      <c r="H18" s="61">
        <f>SUMIFS('Bridge Asset'!$AJ:$AJ,'Bridge Asset'!$BU:$BU,'Bridge Summary'!$B18,'Bridge Asset'!$CR:$CR,'Bridge Summary'!H$5)</f>
        <v/>
      </c>
      <c r="I18" s="61">
        <f>SUMIFS('Bridge Asset'!$AJ:$AJ,'Bridge Asset'!$BU:$BU,'Bridge Summary'!$B18,'Bridge Asset'!$CR:$CR,'Bridge Summary'!I$5)</f>
        <v/>
      </c>
      <c r="J18" s="61">
        <f>SUMIFS('Bridge Asset'!$AJ:$AJ,'Bridge Asset'!$BU:$BU,'Bridge Summary'!$B18,'Bridge Asset'!$CR:$CR,'Bridge Summary'!J$5)</f>
        <v/>
      </c>
      <c r="K18" s="63">
        <f>SUM($E18:$J18)</f>
        <v/>
      </c>
      <c r="L18" s="61">
        <f>+$K18-$J18</f>
        <v/>
      </c>
      <c r="N18" s="12">
        <f>IFERROR(SUM($G18:$I18)/$L18,"N/A")</f>
        <v/>
      </c>
      <c r="O18" s="12">
        <f>IFERROR(SUM($H18:$I18)/$L18,"N/A")</f>
        <v/>
      </c>
      <c r="P18" s="12">
        <f>IFERROR($I18/$L18,"N/A")</f>
        <v/>
      </c>
      <c r="Q18" s="12">
        <f>IFERROR($J18/$K18,"N/A")</f>
        <v/>
      </c>
    </row>
    <row r="19" ht="15" customHeight="1">
      <c r="B19" s="39" t="inlineStr">
        <is>
          <t>Sold Servicing Retained</t>
        </is>
      </c>
      <c r="C19" s="61">
        <f>COUNTIFS('Bridge Loan'!$AM:$AM,'Bridge Summary'!$B19)</f>
        <v/>
      </c>
      <c r="D19" s="61">
        <f>COUNTIFS('Bridge Asset'!$BU:$BU,'Bridge Summary'!$B19)</f>
        <v/>
      </c>
      <c r="E19" s="61">
        <f>SUMIFS('Bridge Asset'!$AJ:$AJ,'Bridge Asset'!$BU:$BU,'Bridge Summary'!$B19,'Bridge Asset'!$CR:$CR,'Bridge Summary'!E$5)</f>
        <v/>
      </c>
      <c r="F19" s="61">
        <f>SUMIFS('Bridge Asset'!$AJ:$AJ,'Bridge Asset'!$BU:$BU,'Bridge Summary'!$B19,'Bridge Asset'!$CR:$CR,'Bridge Summary'!F$5)</f>
        <v/>
      </c>
      <c r="G19" s="61">
        <f>SUMIFS('Bridge Asset'!$AJ:$AJ,'Bridge Asset'!$BU:$BU,'Bridge Summary'!$B19,'Bridge Asset'!$CR:$CR,'Bridge Summary'!G$5)</f>
        <v/>
      </c>
      <c r="H19" s="61">
        <f>SUMIFS('Bridge Asset'!$AJ:$AJ,'Bridge Asset'!$BU:$BU,'Bridge Summary'!$B19,'Bridge Asset'!$CR:$CR,'Bridge Summary'!H$5)</f>
        <v/>
      </c>
      <c r="I19" s="61">
        <f>SUMIFS('Bridge Asset'!$AJ:$AJ,'Bridge Asset'!$BU:$BU,'Bridge Summary'!$B19,'Bridge Asset'!$CR:$CR,'Bridge Summary'!I$5)</f>
        <v/>
      </c>
      <c r="J19" s="61">
        <f>SUMIFS('Bridge Asset'!$AJ:$AJ,'Bridge Asset'!$BU:$BU,'Bridge Summary'!$B19,'Bridge Asset'!$CR:$CR,'Bridge Summary'!J$5)</f>
        <v/>
      </c>
      <c r="K19" s="63">
        <f>SUM($E19:$J19)</f>
        <v/>
      </c>
      <c r="L19" s="61">
        <f>+$K19-$J19</f>
        <v/>
      </c>
      <c r="N19" s="12">
        <f>IFERROR(SUM($G19:$I19)/$L19,"N/A")</f>
        <v/>
      </c>
      <c r="O19" s="12">
        <f>IFERROR(SUM($H19:$I19)/$L19,"N/A")</f>
        <v/>
      </c>
      <c r="P19" s="12">
        <f>IFERROR($I19/$L19,"N/A")</f>
        <v/>
      </c>
      <c r="Q19" s="12">
        <f>IFERROR($J19/$K19,"N/A")</f>
        <v/>
      </c>
    </row>
    <row r="20" ht="15" customHeight="1">
      <c r="B20" s="46" t="inlineStr">
        <is>
          <t>Total Bridge</t>
        </is>
      </c>
      <c r="C20" s="66">
        <f>+C$6+C$7+C$15+C$16+C$17+C$18+C$19</f>
        <v/>
      </c>
      <c r="D20" s="66">
        <f>+D$6+D$7+D$15+D$16+D$17+D$18+D$19</f>
        <v/>
      </c>
      <c r="E20" s="66">
        <f>+E$6+E$7+E$15+E$16+E$17+E$18+E$19</f>
        <v/>
      </c>
      <c r="F20" s="66">
        <f>+F$6+F$7+F$15+F$16+F$17+F$18+F$19</f>
        <v/>
      </c>
      <c r="G20" s="66">
        <f>+G$6+G$7+G$15+G$16+G$17+G$18+G$19</f>
        <v/>
      </c>
      <c r="H20" s="66">
        <f>+H$6+H$7+H$15+H$16+H$17+H$18+H$19</f>
        <v/>
      </c>
      <c r="I20" s="66">
        <f>+I$6+I$7+I$15+I$16+I$17+I$18+I$19</f>
        <v/>
      </c>
      <c r="J20" s="66">
        <f>+J$6+J$7+J$15+J$16+J$17+J$18+J$19</f>
        <v/>
      </c>
      <c r="K20" s="67">
        <f>+K$6+K$7+K$15+K$16+K$17+K$18+K$19</f>
        <v/>
      </c>
      <c r="L20" s="68">
        <f>+L$6+L$7+L$15+L$16+L$17+L$18+L$19</f>
        <v/>
      </c>
      <c r="N20" s="13">
        <f>IFERROR(SUM($G20:$I20)/$L20,"N/A")</f>
        <v/>
      </c>
      <c r="O20" s="14">
        <f>IFERROR(SUM($H20:$I20)/$L20,"N/A")</f>
        <v/>
      </c>
      <c r="P20" s="14">
        <f>IFERROR($I20/$L20,"N/A")</f>
        <v/>
      </c>
      <c r="Q20" s="15">
        <f>IFERROR($J20/$K20,"N/A")</f>
        <v/>
      </c>
    </row>
    <row r="21" ht="15" customHeight="1">
      <c r="B21" s="46" t="inlineStr">
        <is>
          <t>Total Bridge (Ex. Sold)</t>
        </is>
      </c>
      <c r="C21" s="66">
        <f>+C$20-C$19</f>
        <v/>
      </c>
      <c r="D21" s="66">
        <f>+D$20-D$19</f>
        <v/>
      </c>
      <c r="E21" s="66">
        <f>+E$20-E$19</f>
        <v/>
      </c>
      <c r="F21" s="66">
        <f>+F$20-F$19</f>
        <v/>
      </c>
      <c r="G21" s="66">
        <f>+G$20-G$19</f>
        <v/>
      </c>
      <c r="H21" s="66">
        <f>+H$20-H$19</f>
        <v/>
      </c>
      <c r="I21" s="66">
        <f>+I$20-I$19</f>
        <v/>
      </c>
      <c r="J21" s="66">
        <f>+J$20-J$19</f>
        <v/>
      </c>
      <c r="K21" s="67">
        <f>+K$20-K$19</f>
        <v/>
      </c>
      <c r="L21" s="68">
        <f>+L$20-L$19</f>
        <v/>
      </c>
      <c r="N21" s="57">
        <f>IFERROR(SUM($G21:$I21)/$L21,"N/A")</f>
        <v/>
      </c>
      <c r="O21" s="17">
        <f>IFERROR(SUM($H21:$I21)/$L21,"N/A")</f>
        <v/>
      </c>
      <c r="P21" s="17">
        <f>IFERROR($I21/$L21,"N/A")</f>
        <v/>
      </c>
      <c r="Q21" s="58">
        <f>IFERROR($J21/$K21,"N/A")</f>
        <v/>
      </c>
    </row>
    <row r="23">
      <c r="B23" s="52" t="inlineStr">
        <is>
          <t>Legacy Bridge</t>
        </is>
      </c>
      <c r="C23" s="69">
        <f>+C$6</f>
        <v/>
      </c>
      <c r="D23" s="69">
        <f>+D$6</f>
        <v/>
      </c>
      <c r="E23" s="69">
        <f>+E$6</f>
        <v/>
      </c>
      <c r="F23" s="69">
        <f>+F$6</f>
        <v/>
      </c>
      <c r="G23" s="69">
        <f>+G$6</f>
        <v/>
      </c>
      <c r="H23" s="69">
        <f>+H$6</f>
        <v/>
      </c>
      <c r="I23" s="69">
        <f>+I$6</f>
        <v/>
      </c>
      <c r="J23" s="69">
        <f>+J$6</f>
        <v/>
      </c>
      <c r="K23" s="70">
        <f>SUM($E23:$J23)</f>
        <v/>
      </c>
      <c r="L23" s="69">
        <f>+$K23-$J23</f>
        <v/>
      </c>
      <c r="N23" s="16">
        <f>IFERROR(SUM($G23:$I23)/$L23,"N/A")</f>
        <v/>
      </c>
      <c r="O23" s="16">
        <f>IFERROR(SUM($H23:$I23)/$L23,"N/A")</f>
        <v/>
      </c>
      <c r="P23" s="16">
        <f>IFERROR($I23/$L23,"N/A")</f>
        <v/>
      </c>
      <c r="Q23" s="16">
        <f>IFERROR($J23/$K23,"N/A")</f>
        <v/>
      </c>
    </row>
    <row r="24">
      <c r="B24" s="39" t="inlineStr">
        <is>
          <t>Non-Legacy Bridge</t>
        </is>
      </c>
      <c r="C24" s="61">
        <f>+C$7+C$15</f>
        <v/>
      </c>
      <c r="D24" s="61">
        <f>+D$7+D$15</f>
        <v/>
      </c>
      <c r="E24" s="61">
        <f>+E$7+E$15</f>
        <v/>
      </c>
      <c r="F24" s="61">
        <f>+F$7+F$15</f>
        <v/>
      </c>
      <c r="G24" s="61">
        <f>+G$7+G$15</f>
        <v/>
      </c>
      <c r="H24" s="61">
        <f>+H$7+H$15</f>
        <v/>
      </c>
      <c r="I24" s="61">
        <f>+I$7+I$15</f>
        <v/>
      </c>
      <c r="J24" s="61">
        <f>+J$7+J$15</f>
        <v/>
      </c>
      <c r="K24" s="63">
        <f>SUM($E24:$J24)</f>
        <v/>
      </c>
      <c r="L24" s="61">
        <f>+$K24-$J24</f>
        <v/>
      </c>
      <c r="N24" s="12">
        <f>IFERROR(SUM($G24:$I24)/$L24,"N/A")</f>
        <v/>
      </c>
      <c r="O24" s="12">
        <f>IFERROR(SUM($H24:$I24)/$L24,"N/A")</f>
        <v/>
      </c>
      <c r="P24" s="12">
        <f>IFERROR($I24/$L24,"N/A")</f>
        <v/>
      </c>
      <c r="Q24" s="12">
        <f>IFERROR($J24/$K24,"N/A")</f>
        <v/>
      </c>
    </row>
    <row r="25">
      <c r="B25" s="46" t="inlineStr">
        <is>
          <t>Balance Sheet Bridge</t>
        </is>
      </c>
      <c r="C25" s="66">
        <f>SUM(C$23:C$24)</f>
        <v/>
      </c>
      <c r="D25" s="66">
        <f>SUM(D$23:D$24)</f>
        <v/>
      </c>
      <c r="E25" s="66">
        <f>SUM(E$23:E$24)</f>
        <v/>
      </c>
      <c r="F25" s="66">
        <f>SUM(F$23:F$24)</f>
        <v/>
      </c>
      <c r="G25" s="66">
        <f>SUM(G$23:G$24)</f>
        <v/>
      </c>
      <c r="H25" s="66">
        <f>SUM(H$23:H$24)</f>
        <v/>
      </c>
      <c r="I25" s="66">
        <f>SUM(I$23:I$24)</f>
        <v/>
      </c>
      <c r="J25" s="66">
        <f>SUM(J$23:J$24)</f>
        <v/>
      </c>
      <c r="K25" s="67">
        <f>SUM($E25:$J25)</f>
        <v/>
      </c>
      <c r="L25" s="68">
        <f>+$K25-$J25</f>
        <v/>
      </c>
      <c r="N25" s="13">
        <f>IFERROR(SUM($G25:$I25)/$L25,"N/A")</f>
        <v/>
      </c>
      <c r="O25" s="14">
        <f>IFERROR(SUM($H25:$I25)/$L25,"N/A")</f>
        <v/>
      </c>
      <c r="P25" s="14">
        <f>IFERROR($I25/$L25,"N/A")</f>
        <v/>
      </c>
      <c r="Q25" s="15">
        <f>IFERROR($J25/$K25,"N/A")</f>
        <v/>
      </c>
    </row>
    <row r="28">
      <c r="B28" s="39" t="inlineStr">
        <is>
          <t>Summary by Strategy:</t>
        </is>
      </c>
    </row>
    <row r="29" ht="22.5" customHeight="1">
      <c r="B29" s="42" t="n"/>
      <c r="C29" s="42">
        <f>+C$5</f>
        <v/>
      </c>
      <c r="D29" s="42">
        <f>+D$5</f>
        <v/>
      </c>
      <c r="E29" s="42">
        <f>+E$5</f>
        <v/>
      </c>
      <c r="F29" s="42">
        <f>+F$5</f>
        <v/>
      </c>
      <c r="G29" s="42">
        <f>+G$5</f>
        <v/>
      </c>
      <c r="H29" s="42">
        <f>+H$5</f>
        <v/>
      </c>
      <c r="I29" s="42">
        <f>+I$5</f>
        <v/>
      </c>
      <c r="J29" s="42">
        <f>+J$5</f>
        <v/>
      </c>
      <c r="K29" s="43">
        <f>+K$5</f>
        <v/>
      </c>
      <c r="L29" s="42">
        <f>+L$5</f>
        <v/>
      </c>
      <c r="N29" s="42">
        <f>+N$5</f>
        <v/>
      </c>
      <c r="O29" s="42">
        <f>+O$5</f>
        <v/>
      </c>
      <c r="P29" s="42">
        <f>+P$5</f>
        <v/>
      </c>
      <c r="Q29" s="42">
        <f>+Q$5</f>
        <v/>
      </c>
    </row>
    <row r="30">
      <c r="B30" s="39" t="inlineStr">
        <is>
          <t>Renovate / Build to Rent</t>
        </is>
      </c>
      <c r="C30" s="61">
        <f>COUNTIFS('Bridge Loan'!$AS:$AS,'Bridge Summary'!$B30)</f>
        <v/>
      </c>
      <c r="D30" s="61">
        <f>COUNTIFS('Bridge Asset'!$BZ:$BZ,'Bridge Summary'!$B30)</f>
        <v/>
      </c>
      <c r="E30" s="61">
        <f>SUMIFS('Bridge Asset'!$AJ:$AJ,'Bridge Asset'!$BZ:$BZ,'Bridge Summary'!$B30,'Bridge Asset'!$CR:$CR,'Bridge Summary'!E$29)</f>
        <v/>
      </c>
      <c r="F30" s="61">
        <f>SUMIFS('Bridge Asset'!$AJ:$AJ,'Bridge Asset'!$BZ:$BZ,'Bridge Summary'!$B30,'Bridge Asset'!$CR:$CR,'Bridge Summary'!F$29)</f>
        <v/>
      </c>
      <c r="G30" s="61">
        <f>SUMIFS('Bridge Asset'!$AJ:$AJ,'Bridge Asset'!$BZ:$BZ,'Bridge Summary'!$B30,'Bridge Asset'!$CR:$CR,'Bridge Summary'!G$29)</f>
        <v/>
      </c>
      <c r="H30" s="61">
        <f>SUMIFS('Bridge Asset'!$AJ:$AJ,'Bridge Asset'!$BZ:$BZ,'Bridge Summary'!$B30,'Bridge Asset'!$CR:$CR,'Bridge Summary'!H$29)</f>
        <v/>
      </c>
      <c r="I30" s="61">
        <f>SUMIFS('Bridge Asset'!$AJ:$AJ,'Bridge Asset'!$BZ:$BZ,'Bridge Summary'!$B30,'Bridge Asset'!$CR:$CR,'Bridge Summary'!I$29)</f>
        <v/>
      </c>
      <c r="J30" s="61">
        <f>SUMIFS('Bridge Asset'!$AJ:$AJ,'Bridge Asset'!$BZ:$BZ,'Bridge Summary'!$B30,'Bridge Asset'!$CR:$CR,'Bridge Summary'!J$29)</f>
        <v/>
      </c>
      <c r="K30" s="63">
        <f>SUM($E30:$J30)</f>
        <v/>
      </c>
      <c r="L30" s="61">
        <f>+$K30-$J30</f>
        <v/>
      </c>
      <c r="N30" s="12">
        <f>IFERROR(SUM($G30:$I30)/$L30,"N/A")</f>
        <v/>
      </c>
      <c r="O30" s="12">
        <f>IFERROR(SUM($H30:$I30)/$L30,"N/A")</f>
        <v/>
      </c>
      <c r="P30" s="12">
        <f>IFERROR($I30/$L30,"N/A")</f>
        <v/>
      </c>
      <c r="Q30" s="12">
        <f>IFERROR($J30/$K30,"N/A")</f>
        <v/>
      </c>
    </row>
    <row r="31">
      <c r="B31" s="39" t="inlineStr">
        <is>
          <t>Single Asset Bridge</t>
        </is>
      </c>
      <c r="C31" s="61">
        <f>COUNTIFS('Bridge Loan'!$AS:$AS,'Bridge Summary'!$B31)</f>
        <v/>
      </c>
      <c r="D31" s="61">
        <f>COUNTIFS('Bridge Asset'!$BZ:$BZ,'Bridge Summary'!$B31)</f>
        <v/>
      </c>
      <c r="E31" s="61">
        <f>SUMIFS('Bridge Asset'!$AJ:$AJ,'Bridge Asset'!$BZ:$BZ,'Bridge Summary'!$B31,'Bridge Asset'!$CR:$CR,'Bridge Summary'!E$29)</f>
        <v/>
      </c>
      <c r="F31" s="61">
        <f>SUMIFS('Bridge Asset'!$AJ:$AJ,'Bridge Asset'!$BZ:$BZ,'Bridge Summary'!$B31,'Bridge Asset'!$CR:$CR,'Bridge Summary'!F$29)</f>
        <v/>
      </c>
      <c r="G31" s="61">
        <f>SUMIFS('Bridge Asset'!$AJ:$AJ,'Bridge Asset'!$BZ:$BZ,'Bridge Summary'!$B31,'Bridge Asset'!$CR:$CR,'Bridge Summary'!G$29)</f>
        <v/>
      </c>
      <c r="H31" s="61">
        <f>SUMIFS('Bridge Asset'!$AJ:$AJ,'Bridge Asset'!$BZ:$BZ,'Bridge Summary'!$B31,'Bridge Asset'!$CR:$CR,'Bridge Summary'!H$29)</f>
        <v/>
      </c>
      <c r="I31" s="61">
        <f>SUMIFS('Bridge Asset'!$AJ:$AJ,'Bridge Asset'!$BZ:$BZ,'Bridge Summary'!$B31,'Bridge Asset'!$CR:$CR,'Bridge Summary'!I$29)</f>
        <v/>
      </c>
      <c r="J31" s="61">
        <f>SUMIFS('Bridge Asset'!$AJ:$AJ,'Bridge Asset'!$BZ:$BZ,'Bridge Summary'!$B31,'Bridge Asset'!$CR:$CR,'Bridge Summary'!J$29)</f>
        <v/>
      </c>
      <c r="K31" s="63">
        <f>SUM($E31:$J31)</f>
        <v/>
      </c>
      <c r="L31" s="61">
        <f>+$K31-$J31</f>
        <v/>
      </c>
      <c r="N31" s="12">
        <f>IFERROR(SUM($G31:$I31)/$L31,"N/A")</f>
        <v/>
      </c>
      <c r="O31" s="12">
        <f>IFERROR(SUM($H31:$I31)/$L31,"N/A")</f>
        <v/>
      </c>
      <c r="P31" s="12">
        <f>IFERROR($I31/$L31,"N/A")</f>
        <v/>
      </c>
      <c r="Q31" s="12">
        <f>IFERROR($J31/$K31,"N/A")</f>
        <v/>
      </c>
    </row>
    <row r="32">
      <c r="B32" s="39" t="inlineStr">
        <is>
          <t>Multifamily</t>
        </is>
      </c>
      <c r="C32" s="61">
        <f>COUNTIFS('Bridge Loan'!$AS:$AS,'Bridge Summary'!$B32)</f>
        <v/>
      </c>
      <c r="D32" s="61">
        <f>COUNTIFS('Bridge Asset'!$BZ:$BZ,'Bridge Summary'!$B32)</f>
        <v/>
      </c>
      <c r="E32" s="61">
        <f>SUMIFS('Bridge Asset'!$AJ:$AJ,'Bridge Asset'!$BZ:$BZ,'Bridge Summary'!$B32,'Bridge Asset'!$CR:$CR,'Bridge Summary'!E$29)</f>
        <v/>
      </c>
      <c r="F32" s="61">
        <f>SUMIFS('Bridge Asset'!$AJ:$AJ,'Bridge Asset'!$BZ:$BZ,'Bridge Summary'!$B32,'Bridge Asset'!$CR:$CR,'Bridge Summary'!F$29)</f>
        <v/>
      </c>
      <c r="G32" s="61">
        <f>SUMIFS('Bridge Asset'!$AJ:$AJ,'Bridge Asset'!$BZ:$BZ,'Bridge Summary'!$B32,'Bridge Asset'!$CR:$CR,'Bridge Summary'!G$29)</f>
        <v/>
      </c>
      <c r="H32" s="61">
        <f>SUMIFS('Bridge Asset'!$AJ:$AJ,'Bridge Asset'!$BZ:$BZ,'Bridge Summary'!$B32,'Bridge Asset'!$CR:$CR,'Bridge Summary'!H$29)</f>
        <v/>
      </c>
      <c r="I32" s="61">
        <f>SUMIFS('Bridge Asset'!$AJ:$AJ,'Bridge Asset'!$BZ:$BZ,'Bridge Summary'!$B32,'Bridge Asset'!$CR:$CR,'Bridge Summary'!I$29)</f>
        <v/>
      </c>
      <c r="J32" s="61">
        <f>SUMIFS('Bridge Asset'!$AJ:$AJ,'Bridge Asset'!$BZ:$BZ,'Bridge Summary'!$B32,'Bridge Asset'!$CR:$CR,'Bridge Summary'!J$29)</f>
        <v/>
      </c>
      <c r="K32" s="63">
        <f>SUM($E32:$J32)</f>
        <v/>
      </c>
      <c r="L32" s="61">
        <f>+$K32-$J32</f>
        <v/>
      </c>
      <c r="N32" s="12">
        <f>IFERROR(SUM($G32:$I32)/$L32,"N/A")</f>
        <v/>
      </c>
      <c r="O32" s="12">
        <f>IFERROR(SUM($H32:$I32)/$L32,"N/A")</f>
        <v/>
      </c>
      <c r="P32" s="12">
        <f>IFERROR($I32/$L32,"N/A")</f>
        <v/>
      </c>
      <c r="Q32" s="12">
        <f>IFERROR($J32/$K32,"N/A")</f>
        <v/>
      </c>
    </row>
    <row r="33">
      <c r="B33" s="39" t="inlineStr">
        <is>
          <t>Other</t>
        </is>
      </c>
      <c r="C33" s="61">
        <f>COUNTIFS('Bridge Loan'!$AS:$AS,'Bridge Summary'!$B33)</f>
        <v/>
      </c>
      <c r="D33" s="61">
        <f>COUNTIFS('Bridge Asset'!$BZ:$BZ,'Bridge Summary'!$B33)</f>
        <v/>
      </c>
      <c r="E33" s="61">
        <f>SUMIFS('Bridge Asset'!$AJ:$AJ,'Bridge Asset'!$BZ:$BZ,'Bridge Summary'!$B33,'Bridge Asset'!$CR:$CR,'Bridge Summary'!E$29)</f>
        <v/>
      </c>
      <c r="F33" s="61">
        <f>SUMIFS('Bridge Asset'!$AJ:$AJ,'Bridge Asset'!$BZ:$BZ,'Bridge Summary'!$B33,'Bridge Asset'!$CR:$CR,'Bridge Summary'!F$29)</f>
        <v/>
      </c>
      <c r="G33" s="61">
        <f>SUMIFS('Bridge Asset'!$AJ:$AJ,'Bridge Asset'!$BZ:$BZ,'Bridge Summary'!$B33,'Bridge Asset'!$CR:$CR,'Bridge Summary'!G$29)</f>
        <v/>
      </c>
      <c r="H33" s="61">
        <f>SUMIFS('Bridge Asset'!$AJ:$AJ,'Bridge Asset'!$BZ:$BZ,'Bridge Summary'!$B33,'Bridge Asset'!$CR:$CR,'Bridge Summary'!H$29)</f>
        <v/>
      </c>
      <c r="I33" s="61">
        <f>SUMIFS('Bridge Asset'!$AJ:$AJ,'Bridge Asset'!$BZ:$BZ,'Bridge Summary'!$B33,'Bridge Asset'!$CR:$CR,'Bridge Summary'!I$29)</f>
        <v/>
      </c>
      <c r="J33" s="61">
        <f>SUMIFS('Bridge Asset'!$AJ:$AJ,'Bridge Asset'!$BZ:$BZ,'Bridge Summary'!$B33,'Bridge Asset'!$CR:$CR,'Bridge Summary'!J$29)</f>
        <v/>
      </c>
      <c r="K33" s="63">
        <f>SUM($E33:$J33)</f>
        <v/>
      </c>
      <c r="L33" s="61">
        <f>+$K33-$J33</f>
        <v/>
      </c>
      <c r="N33" s="12">
        <f>IFERROR(SUM($G33:$I33)/$L33,"N/A")</f>
        <v/>
      </c>
      <c r="O33" s="12">
        <f>IFERROR(SUM($H33:$I33)/$L33,"N/A")</f>
        <v/>
      </c>
      <c r="P33" s="12">
        <f>IFERROR($I33/$L33,"N/A")</f>
        <v/>
      </c>
      <c r="Q33" s="12">
        <f>IFERROR($J33/$K33,"N/A")</f>
        <v/>
      </c>
    </row>
    <row r="34">
      <c r="B34" s="39" t="inlineStr">
        <is>
          <t>Sold</t>
        </is>
      </c>
      <c r="C34" s="61">
        <f>COUNTIFS('Bridge Loan'!$AS:$AS,'Bridge Summary'!$B34)</f>
        <v/>
      </c>
      <c r="D34" s="61">
        <f>COUNTIFS('Bridge Asset'!$BZ:$BZ,'Bridge Summary'!$B34)</f>
        <v/>
      </c>
      <c r="E34" s="61">
        <f>SUMIFS('Bridge Asset'!$AJ:$AJ,'Bridge Asset'!$BZ:$BZ,'Bridge Summary'!$B34,'Bridge Asset'!$CR:$CR,'Bridge Summary'!E$29)</f>
        <v/>
      </c>
      <c r="F34" s="61">
        <f>SUMIFS('Bridge Asset'!$AJ:$AJ,'Bridge Asset'!$BZ:$BZ,'Bridge Summary'!$B34,'Bridge Asset'!$CR:$CR,'Bridge Summary'!F$29)</f>
        <v/>
      </c>
      <c r="G34" s="61">
        <f>SUMIFS('Bridge Asset'!$AJ:$AJ,'Bridge Asset'!$BZ:$BZ,'Bridge Summary'!$B34,'Bridge Asset'!$CR:$CR,'Bridge Summary'!G$29)</f>
        <v/>
      </c>
      <c r="H34" s="61">
        <f>SUMIFS('Bridge Asset'!$AJ:$AJ,'Bridge Asset'!$BZ:$BZ,'Bridge Summary'!$B34,'Bridge Asset'!$CR:$CR,'Bridge Summary'!H$29)</f>
        <v/>
      </c>
      <c r="I34" s="61">
        <f>SUMIFS('Bridge Asset'!$AJ:$AJ,'Bridge Asset'!$BZ:$BZ,'Bridge Summary'!$B34,'Bridge Asset'!$CR:$CR,'Bridge Summary'!I$29)</f>
        <v/>
      </c>
      <c r="J34" s="61">
        <f>SUMIFS('Bridge Asset'!$AJ:$AJ,'Bridge Asset'!$BZ:$BZ,'Bridge Summary'!$B34,'Bridge Asset'!$CR:$CR,'Bridge Summary'!J$29)</f>
        <v/>
      </c>
      <c r="K34" s="63">
        <f>SUM($E34:$J34)</f>
        <v/>
      </c>
      <c r="L34" s="61">
        <f>+$K34-$J34</f>
        <v/>
      </c>
      <c r="N34" s="12">
        <f>IFERROR(SUM($G34:$I34)/$L34,"N/A")</f>
        <v/>
      </c>
      <c r="O34" s="12">
        <f>IFERROR(SUM($H34:$I34)/$L34,"N/A")</f>
        <v/>
      </c>
      <c r="P34" s="12">
        <f>IFERROR($I34/$L34,"N/A")</f>
        <v/>
      </c>
      <c r="Q34" s="12">
        <f>IFERROR($J34/$K34,"N/A")</f>
        <v/>
      </c>
    </row>
    <row r="35">
      <c r="B35" s="46" t="inlineStr">
        <is>
          <t>Total Bridge</t>
        </is>
      </c>
      <c r="C35" s="66">
        <f>SUM(C$30:C$34)</f>
        <v/>
      </c>
      <c r="D35" s="66">
        <f>SUM(D$30:D$34)</f>
        <v/>
      </c>
      <c r="E35" s="66">
        <f>SUM(E$30:E$34)</f>
        <v/>
      </c>
      <c r="F35" s="66">
        <f>SUM(F$30:F$34)</f>
        <v/>
      </c>
      <c r="G35" s="66">
        <f>SUM(G$30:G$34)</f>
        <v/>
      </c>
      <c r="H35" s="66">
        <f>SUM(H$30:H$34)</f>
        <v/>
      </c>
      <c r="I35" s="66">
        <f>SUM(I$30:I$34)</f>
        <v/>
      </c>
      <c r="J35" s="66">
        <f>SUM(J$30:J$34)</f>
        <v/>
      </c>
      <c r="K35" s="67">
        <f>SUM($E35:$J35)</f>
        <v/>
      </c>
      <c r="L35" s="68">
        <f>+$K35-$J35</f>
        <v/>
      </c>
      <c r="N35" s="55">
        <f>IFERROR(SUM($G35:$I35)/$L35,"N/A")</f>
        <v/>
      </c>
      <c r="O35" s="16">
        <f>IFERROR(SUM($H35:$I35)/$L35,"N/A")</f>
        <v/>
      </c>
      <c r="P35" s="16">
        <f>IFERROR($I35/$L35,"N/A")</f>
        <v/>
      </c>
      <c r="Q35" s="56">
        <f>IFERROR($J35/$K35,"N/A")</f>
        <v/>
      </c>
    </row>
    <row r="36">
      <c r="B36" s="46" t="inlineStr">
        <is>
          <t>Total Bridge (Ex. Sold)</t>
        </is>
      </c>
      <c r="C36" s="66">
        <f>+C$35-C$34</f>
        <v/>
      </c>
      <c r="D36" s="66">
        <f>+D$35-D$34</f>
        <v/>
      </c>
      <c r="E36" s="66">
        <f>+E$35-E$34</f>
        <v/>
      </c>
      <c r="F36" s="66">
        <f>+F$35-F$34</f>
        <v/>
      </c>
      <c r="G36" s="66">
        <f>+G$35-G$34</f>
        <v/>
      </c>
      <c r="H36" s="66">
        <f>+H$35-H$34</f>
        <v/>
      </c>
      <c r="I36" s="66">
        <f>+I$35-I$34</f>
        <v/>
      </c>
      <c r="J36" s="66">
        <f>+J$35-J$34</f>
        <v/>
      </c>
      <c r="K36" s="67">
        <f>SUM($E36:$J36)</f>
        <v/>
      </c>
      <c r="L36" s="68">
        <f>+$K36-$J36</f>
        <v/>
      </c>
      <c r="N36" s="13">
        <f>IFERROR(SUM($G36:$I36)/$L36,"N/A")</f>
        <v/>
      </c>
      <c r="O36" s="14">
        <f>IFERROR(SUM($H36:$I36)/$L36,"N/A")</f>
        <v/>
      </c>
      <c r="P36" s="14">
        <f>IFERROR($I36/$L36,"N/A")</f>
        <v/>
      </c>
      <c r="Q36" s="15">
        <f>IFERROR($J36/$K36,"N/A")</f>
        <v/>
      </c>
    </row>
    <row r="39">
      <c r="B39" s="39" t="inlineStr">
        <is>
          <t xml:space="preserve">Summary by Product: </t>
        </is>
      </c>
    </row>
    <row r="40" ht="30" customHeight="1">
      <c r="B40" s="42" t="n"/>
      <c r="C40" s="42">
        <f>+C$29</f>
        <v/>
      </c>
      <c r="D40" s="42">
        <f>+D$29</f>
        <v/>
      </c>
      <c r="E40" s="42">
        <f>+E$29</f>
        <v/>
      </c>
      <c r="F40" s="42">
        <f>+F$29</f>
        <v/>
      </c>
      <c r="G40" s="42">
        <f>+G$29</f>
        <v/>
      </c>
      <c r="H40" s="42">
        <f>+H$29</f>
        <v/>
      </c>
      <c r="I40" s="42">
        <f>+I$29</f>
        <v/>
      </c>
      <c r="J40" s="42">
        <f>+J$29</f>
        <v/>
      </c>
      <c r="K40" s="43">
        <f>+K$29</f>
        <v/>
      </c>
      <c r="L40" s="42">
        <f>+L$29</f>
        <v/>
      </c>
      <c r="N40" s="42">
        <f>+N$29</f>
        <v/>
      </c>
      <c r="O40" s="42">
        <f>+O$29</f>
        <v/>
      </c>
      <c r="P40" s="42">
        <f>+P$29</f>
        <v/>
      </c>
      <c r="Q40" s="42">
        <f>+Q$29</f>
        <v/>
      </c>
    </row>
    <row r="41" ht="15" customHeight="1">
      <c r="B41" s="39" t="inlineStr">
        <is>
          <t>Single Asset Bridge</t>
        </is>
      </c>
      <c r="C41" s="61">
        <f>COUNTIFS('Bridge Loan'!$AN:$AN,'Bridge Summary'!$B41)</f>
        <v/>
      </c>
      <c r="D41" s="61">
        <f>COUNTIFS('Bridge Asset'!$CL:$CL,'Bridge Summary'!$B41)</f>
        <v/>
      </c>
      <c r="E41" s="61">
        <f>SUMIFS('Bridge Asset'!$AJ:$AJ,'Bridge Asset'!$CL:$CL,'Bridge Summary'!$B41,'Bridge Asset'!$CR:$CR,'Bridge Summary'!E$40)</f>
        <v/>
      </c>
      <c r="F41" s="61">
        <f>SUMIFS('Bridge Asset'!$AJ:$AJ,'Bridge Asset'!$CL:$CL,'Bridge Summary'!$B41,'Bridge Asset'!$CR:$CR,'Bridge Summary'!F$40)</f>
        <v/>
      </c>
      <c r="G41" s="61">
        <f>SUMIFS('Bridge Asset'!$AJ:$AJ,'Bridge Asset'!$CL:$CL,'Bridge Summary'!$B41,'Bridge Asset'!$CR:$CR,'Bridge Summary'!G$40)</f>
        <v/>
      </c>
      <c r="H41" s="61">
        <f>SUMIFS('Bridge Asset'!$AJ:$AJ,'Bridge Asset'!$CL:$CL,'Bridge Summary'!$B41,'Bridge Asset'!$CR:$CR,'Bridge Summary'!H$40)</f>
        <v/>
      </c>
      <c r="I41" s="61">
        <f>SUMIFS('Bridge Asset'!$AJ:$AJ,'Bridge Asset'!$CL:$CL,'Bridge Summary'!$B41,'Bridge Asset'!$CR:$CR,'Bridge Summary'!I$40)</f>
        <v/>
      </c>
      <c r="J41" s="61">
        <f>SUMIFS('Bridge Asset'!$AJ:$AJ,'Bridge Asset'!$CL:$CL,'Bridge Summary'!$B41,'Bridge Asset'!$CR:$CR,'Bridge Summary'!J$40)</f>
        <v/>
      </c>
      <c r="K41" s="63">
        <f>SUM($E41:$J41)</f>
        <v/>
      </c>
      <c r="L41" s="61">
        <f>+$K41-$J41</f>
        <v/>
      </c>
      <c r="N41" s="12">
        <f>IFERROR(SUM($G41:$I41)/$L41,"N/A")</f>
        <v/>
      </c>
      <c r="O41" s="12">
        <f>IFERROR(SUM($H41:$I41)/$L41,"N/A")</f>
        <v/>
      </c>
      <c r="P41" s="12">
        <f>IFERROR($I41/$L41,"N/A")</f>
        <v/>
      </c>
      <c r="Q41" s="12">
        <f>IFERROR($J41/$K41,"N/A")</f>
        <v/>
      </c>
    </row>
    <row r="42" outlineLevel="1" ht="15" customHeight="1">
      <c r="B42" s="41" t="inlineStr">
        <is>
          <t>Single Asset Bridge (Ex. Sold)</t>
        </is>
      </c>
      <c r="C42" s="61">
        <f>+C$41-C$34</f>
        <v/>
      </c>
      <c r="D42" s="61">
        <f>+D$41-D$34</f>
        <v/>
      </c>
      <c r="E42" s="61">
        <f>+E$41-E$34</f>
        <v/>
      </c>
      <c r="F42" s="61">
        <f>+F$41-F$34</f>
        <v/>
      </c>
      <c r="G42" s="61">
        <f>+G$41-G$34</f>
        <v/>
      </c>
      <c r="H42" s="61">
        <f>+H$41-H$34</f>
        <v/>
      </c>
      <c r="I42" s="61">
        <f>+I$41-I$34</f>
        <v/>
      </c>
      <c r="J42" s="61">
        <f>+J$41-J$34</f>
        <v/>
      </c>
      <c r="K42" s="63">
        <f>+K$41-K$34</f>
        <v/>
      </c>
      <c r="L42" s="61">
        <f>+L$41-L$34</f>
        <v/>
      </c>
      <c r="N42" s="12">
        <f>IFERROR(SUM($G42:$I42)/$L42,"N/A")</f>
        <v/>
      </c>
      <c r="O42" s="12">
        <f>IFERROR(SUM($H42:$I42)/$L42,"N/A")</f>
        <v/>
      </c>
      <c r="P42" s="12">
        <f>IFERROR($I42/$L42,"N/A")</f>
        <v/>
      </c>
      <c r="Q42" s="12">
        <f>IFERROR($J42/$K42,"N/A")</f>
        <v/>
      </c>
    </row>
    <row r="43">
      <c r="B43" s="39" t="inlineStr">
        <is>
          <t>Credit Line</t>
        </is>
      </c>
      <c r="C43" s="61">
        <f>COUNTIFS('Bridge Loan'!$AN:$AN,'Bridge Summary'!$B43)</f>
        <v/>
      </c>
      <c r="D43" s="61">
        <f>COUNTIFS('Bridge Asset'!$CL:$CL,'Bridge Summary'!$B43)</f>
        <v/>
      </c>
      <c r="E43" s="61">
        <f>SUMIFS('Bridge Asset'!$AJ:$AJ,'Bridge Asset'!$CL:$CL,'Bridge Summary'!$B43,'Bridge Asset'!$CR:$CR,'Bridge Summary'!E$40)</f>
        <v/>
      </c>
      <c r="F43" s="61">
        <f>SUMIFS('Bridge Asset'!$AJ:$AJ,'Bridge Asset'!$CL:$CL,'Bridge Summary'!$B43,'Bridge Asset'!$CR:$CR,'Bridge Summary'!F$40)</f>
        <v/>
      </c>
      <c r="G43" s="61">
        <f>SUMIFS('Bridge Asset'!$AJ:$AJ,'Bridge Asset'!$CL:$CL,'Bridge Summary'!$B43,'Bridge Asset'!$CR:$CR,'Bridge Summary'!G$40)</f>
        <v/>
      </c>
      <c r="H43" s="61">
        <f>SUMIFS('Bridge Asset'!$AJ:$AJ,'Bridge Asset'!$CL:$CL,'Bridge Summary'!$B43,'Bridge Asset'!$CR:$CR,'Bridge Summary'!H$40)</f>
        <v/>
      </c>
      <c r="I43" s="61">
        <f>SUMIFS('Bridge Asset'!$AJ:$AJ,'Bridge Asset'!$CL:$CL,'Bridge Summary'!$B43,'Bridge Asset'!$CR:$CR,'Bridge Summary'!I$40)</f>
        <v/>
      </c>
      <c r="J43" s="61">
        <f>SUMIFS('Bridge Asset'!$AJ:$AJ,'Bridge Asset'!$CL:$CL,'Bridge Summary'!$B43,'Bridge Asset'!$CR:$CR,'Bridge Summary'!J$40)</f>
        <v/>
      </c>
      <c r="K43" s="63">
        <f>SUM($E43:$J43)</f>
        <v/>
      </c>
      <c r="L43" s="61">
        <f>+$K43-$J43</f>
        <v/>
      </c>
      <c r="N43" s="12">
        <f>IFERROR(SUM($G43:$I43)/$L43,"N/A")</f>
        <v/>
      </c>
      <c r="O43" s="12">
        <f>IFERROR(SUM($H43:$I43)/$L43,"N/A")</f>
        <v/>
      </c>
      <c r="P43" s="12">
        <f>IFERROR($I43/$L43,"N/A")</f>
        <v/>
      </c>
      <c r="Q43" s="12">
        <f>IFERROR($J43/$K43,"N/A")</f>
        <v/>
      </c>
    </row>
    <row r="44">
      <c r="B44" s="39" t="inlineStr">
        <is>
          <t>Multifamily/CRE</t>
        </is>
      </c>
      <c r="C44" s="61">
        <f>COUNTIFS('Bridge Loan'!$AN:$AN,'Bridge Summary'!$B44)</f>
        <v/>
      </c>
      <c r="D44" s="61">
        <f>COUNTIFS('Bridge Asset'!$CL:$CL,'Bridge Summary'!$B44)</f>
        <v/>
      </c>
      <c r="E44" s="61">
        <f>SUMIFS('Bridge Asset'!$AJ:$AJ,'Bridge Asset'!$CL:$CL,'Bridge Summary'!$B44,'Bridge Asset'!$CR:$CR,'Bridge Summary'!E$40)</f>
        <v/>
      </c>
      <c r="F44" s="61">
        <f>SUMIFS('Bridge Asset'!$AJ:$AJ,'Bridge Asset'!$CL:$CL,'Bridge Summary'!$B44,'Bridge Asset'!$CR:$CR,'Bridge Summary'!F$40)</f>
        <v/>
      </c>
      <c r="G44" s="61">
        <f>SUMIFS('Bridge Asset'!$AJ:$AJ,'Bridge Asset'!$CL:$CL,'Bridge Summary'!$B44,'Bridge Asset'!$CR:$CR,'Bridge Summary'!G$40)</f>
        <v/>
      </c>
      <c r="H44" s="61">
        <f>SUMIFS('Bridge Asset'!$AJ:$AJ,'Bridge Asset'!$CL:$CL,'Bridge Summary'!$B44,'Bridge Asset'!$CR:$CR,'Bridge Summary'!H$40)</f>
        <v/>
      </c>
      <c r="I44" s="61">
        <f>SUMIFS('Bridge Asset'!$AJ:$AJ,'Bridge Asset'!$CL:$CL,'Bridge Summary'!$B44,'Bridge Asset'!$CR:$CR,'Bridge Summary'!I$40)</f>
        <v/>
      </c>
      <c r="J44" s="61">
        <f>SUMIFS('Bridge Asset'!$AJ:$AJ,'Bridge Asset'!$CL:$CL,'Bridge Summary'!$B44,'Bridge Asset'!$CR:$CR,'Bridge Summary'!J$40)</f>
        <v/>
      </c>
      <c r="K44" s="63">
        <f>SUM($E44:$J44)</f>
        <v/>
      </c>
      <c r="L44" s="61">
        <f>+$K44-$J44</f>
        <v/>
      </c>
      <c r="N44" s="12">
        <f>IFERROR(SUM($G44:$I44)/$L44,"N/A")</f>
        <v/>
      </c>
      <c r="O44" s="12">
        <f>IFERROR(SUM($H44:$I44)/$L44,"N/A")</f>
        <v/>
      </c>
      <c r="P44" s="12">
        <f>IFERROR($I44/$L44,"N/A")</f>
        <v/>
      </c>
      <c r="Q44" s="12">
        <f>IFERROR($J44/$K44,"N/A")</f>
        <v/>
      </c>
    </row>
    <row r="45">
      <c r="B45" s="39" t="inlineStr">
        <is>
          <t>Build to Rent</t>
        </is>
      </c>
      <c r="C45" s="61">
        <f>COUNTIFS('Bridge Loan'!$AN:$AN,'Bridge Summary'!$B45)</f>
        <v/>
      </c>
      <c r="D45" s="61">
        <f>COUNTIFS('Bridge Asset'!$CL:$CL,'Bridge Summary'!$B45)</f>
        <v/>
      </c>
      <c r="E45" s="61">
        <f>SUMIFS('Bridge Asset'!$AJ:$AJ,'Bridge Asset'!$CL:$CL,'Bridge Summary'!$B45,'Bridge Asset'!$CR:$CR,'Bridge Summary'!E$40)</f>
        <v/>
      </c>
      <c r="F45" s="61">
        <f>SUMIFS('Bridge Asset'!$AJ:$AJ,'Bridge Asset'!$CL:$CL,'Bridge Summary'!$B45,'Bridge Asset'!$CR:$CR,'Bridge Summary'!F$40)</f>
        <v/>
      </c>
      <c r="G45" s="61">
        <f>SUMIFS('Bridge Asset'!$AJ:$AJ,'Bridge Asset'!$CL:$CL,'Bridge Summary'!$B45,'Bridge Asset'!$CR:$CR,'Bridge Summary'!G$40)</f>
        <v/>
      </c>
      <c r="H45" s="61">
        <f>SUMIFS('Bridge Asset'!$AJ:$AJ,'Bridge Asset'!$CL:$CL,'Bridge Summary'!$B45,'Bridge Asset'!$CR:$CR,'Bridge Summary'!H$40)</f>
        <v/>
      </c>
      <c r="I45" s="61">
        <f>SUMIFS('Bridge Asset'!$AJ:$AJ,'Bridge Asset'!$CL:$CL,'Bridge Summary'!$B45,'Bridge Asset'!$CR:$CR,'Bridge Summary'!I$40)</f>
        <v/>
      </c>
      <c r="J45" s="61">
        <f>SUMIFS('Bridge Asset'!$AJ:$AJ,'Bridge Asset'!$CL:$CL,'Bridge Summary'!$B45,'Bridge Asset'!$CR:$CR,'Bridge Summary'!J$40)</f>
        <v/>
      </c>
      <c r="K45" s="63">
        <f>SUM($E45:$J45)</f>
        <v/>
      </c>
      <c r="L45" s="61">
        <f>+$K45-$J45</f>
        <v/>
      </c>
      <c r="N45" s="12">
        <f>IFERROR(SUM($G45:$I45)/$L45,"N/A")</f>
        <v/>
      </c>
      <c r="O45" s="12">
        <f>IFERROR(SUM($H45:$I45)/$L45,"N/A")</f>
        <v/>
      </c>
      <c r="P45" s="12">
        <f>IFERROR($I45/$L45,"N/A")</f>
        <v/>
      </c>
      <c r="Q45" s="12">
        <f>IFERROR($J45/$K45,"N/A")</f>
        <v/>
      </c>
    </row>
    <row r="46">
      <c r="B46" s="39" t="inlineStr">
        <is>
          <t>5A Bridge</t>
        </is>
      </c>
      <c r="C46" s="61">
        <f>COUNTIFS('Bridge Loan'!$AN:$AN,'Bridge Summary'!$B46)</f>
        <v/>
      </c>
      <c r="D46" s="61">
        <f>COUNTIFS('Bridge Asset'!$CL:$CL,'Bridge Summary'!$B46)</f>
        <v/>
      </c>
      <c r="E46" s="61">
        <f>SUMIFS('Bridge Asset'!$AJ:$AJ,'Bridge Asset'!$CL:$CL,'Bridge Summary'!$B46,'Bridge Asset'!$CR:$CR,'Bridge Summary'!E$40)</f>
        <v/>
      </c>
      <c r="F46" s="61">
        <f>SUMIFS('Bridge Asset'!$AJ:$AJ,'Bridge Asset'!$CL:$CL,'Bridge Summary'!$B46,'Bridge Asset'!$CR:$CR,'Bridge Summary'!F$40)</f>
        <v/>
      </c>
      <c r="G46" s="61">
        <f>SUMIFS('Bridge Asset'!$AJ:$AJ,'Bridge Asset'!$CL:$CL,'Bridge Summary'!$B46,'Bridge Asset'!$CR:$CR,'Bridge Summary'!G$40)</f>
        <v/>
      </c>
      <c r="H46" s="61">
        <f>SUMIFS('Bridge Asset'!$AJ:$AJ,'Bridge Asset'!$CL:$CL,'Bridge Summary'!$B46,'Bridge Asset'!$CR:$CR,'Bridge Summary'!H$40)</f>
        <v/>
      </c>
      <c r="I46" s="61">
        <f>SUMIFS('Bridge Asset'!$AJ:$AJ,'Bridge Asset'!$CL:$CL,'Bridge Summary'!$B46,'Bridge Asset'!$CR:$CR,'Bridge Summary'!I$40)</f>
        <v/>
      </c>
      <c r="J46" s="61">
        <f>SUMIFS('Bridge Asset'!$AJ:$AJ,'Bridge Asset'!$CL:$CL,'Bridge Summary'!$B46,'Bridge Asset'!$CR:$CR,'Bridge Summary'!J$40)</f>
        <v/>
      </c>
      <c r="K46" s="63">
        <f>SUM($E46:$J46)</f>
        <v/>
      </c>
      <c r="L46" s="61">
        <f>+$K46-$J46</f>
        <v/>
      </c>
      <c r="N46" s="12">
        <f>IFERROR(SUM($G46:$I46)/$L46,"N/A")</f>
        <v/>
      </c>
      <c r="O46" s="12">
        <f>IFERROR(SUM($H46:$I46)/$L46,"N/A")</f>
        <v/>
      </c>
      <c r="P46" s="12">
        <f>IFERROR($I46/$L46,"N/A")</f>
        <v/>
      </c>
      <c r="Q46" s="12">
        <f>IFERROR($J46/$K46,"N/A")</f>
        <v/>
      </c>
    </row>
    <row r="47">
      <c r="B47" s="39" t="inlineStr">
        <is>
          <t>Purchased Bridge</t>
        </is>
      </c>
      <c r="C47" s="61">
        <f>COUNTIFS('Bridge Loan'!$AN:$AN,'Bridge Summary'!$B47)</f>
        <v/>
      </c>
      <c r="D47" s="61">
        <f>COUNTIFS('Bridge Asset'!$CL:$CL,'Bridge Summary'!$B47)</f>
        <v/>
      </c>
      <c r="E47" s="61">
        <f>SUMIFS('Bridge Asset'!$AJ:$AJ,'Bridge Asset'!$CL:$CL,'Bridge Summary'!$B47,'Bridge Asset'!$CR:$CR,'Bridge Summary'!E$40)</f>
        <v/>
      </c>
      <c r="F47" s="61">
        <f>SUMIFS('Bridge Asset'!$AJ:$AJ,'Bridge Asset'!$CL:$CL,'Bridge Summary'!$B47,'Bridge Asset'!$CR:$CR,'Bridge Summary'!F$40)</f>
        <v/>
      </c>
      <c r="G47" s="61">
        <f>SUMIFS('Bridge Asset'!$AJ:$AJ,'Bridge Asset'!$CL:$CL,'Bridge Summary'!$B47,'Bridge Asset'!$CR:$CR,'Bridge Summary'!G$40)</f>
        <v/>
      </c>
      <c r="H47" s="61">
        <f>SUMIFS('Bridge Asset'!$AJ:$AJ,'Bridge Asset'!$CL:$CL,'Bridge Summary'!$B47,'Bridge Asset'!$CR:$CR,'Bridge Summary'!H$40)</f>
        <v/>
      </c>
      <c r="I47" s="61">
        <f>SUMIFS('Bridge Asset'!$AJ:$AJ,'Bridge Asset'!$CL:$CL,'Bridge Summary'!$B47,'Bridge Asset'!$CR:$CR,'Bridge Summary'!I$40)</f>
        <v/>
      </c>
      <c r="J47" s="61">
        <f>SUMIFS('Bridge Asset'!$AJ:$AJ,'Bridge Asset'!$CL:$CL,'Bridge Summary'!$B47,'Bridge Asset'!$CR:$CR,'Bridge Summary'!J$40)</f>
        <v/>
      </c>
      <c r="K47" s="63">
        <f>SUM($E47:$J47)</f>
        <v/>
      </c>
      <c r="L47" s="61">
        <f>+$K47-$J47</f>
        <v/>
      </c>
      <c r="N47" s="12">
        <f>IFERROR(SUM($G47:$I47)/$L47,"N/A")</f>
        <v/>
      </c>
      <c r="O47" s="12">
        <f>IFERROR(SUM($H47:$I47)/$L47,"N/A")</f>
        <v/>
      </c>
      <c r="P47" s="12">
        <f>IFERROR($I47/$L47,"N/A")</f>
        <v/>
      </c>
      <c r="Q47" s="12">
        <f>IFERROR($J47/$K47,"N/A")</f>
        <v/>
      </c>
    </row>
    <row r="48">
      <c r="B48" s="46" t="inlineStr">
        <is>
          <t>Total Bridge</t>
        </is>
      </c>
      <c r="C48" s="66">
        <f>SUM(C$41:C$47)-C$42</f>
        <v/>
      </c>
      <c r="D48" s="66">
        <f>SUM(D$41:D$47)-D$42</f>
        <v/>
      </c>
      <c r="E48" s="66">
        <f>SUM(E$41:E$47)-E$42</f>
        <v/>
      </c>
      <c r="F48" s="66">
        <f>SUM(F$41:F$47)-F$42</f>
        <v/>
      </c>
      <c r="G48" s="66">
        <f>SUM(G$41:G$47)-G$42</f>
        <v/>
      </c>
      <c r="H48" s="66">
        <f>SUM(H$41:H$47)-H$42</f>
        <v/>
      </c>
      <c r="I48" s="66">
        <f>SUM(I$41:I$47)-I$42</f>
        <v/>
      </c>
      <c r="J48" s="66">
        <f>SUM(J$41:J$47)-J$42</f>
        <v/>
      </c>
      <c r="K48" s="67">
        <f>SUM(K$41:K$47)-K$42</f>
        <v/>
      </c>
      <c r="L48" s="68">
        <f>SUM(L$41:L$47)-L$42</f>
        <v/>
      </c>
      <c r="N48" s="55">
        <f>IFERROR(SUM($G48:$I48)/$L48,"N/A")</f>
        <v/>
      </c>
      <c r="O48" s="16">
        <f>IFERROR(SUM($H48:$I48)/$L48,"N/A")</f>
        <v/>
      </c>
      <c r="P48" s="16">
        <f>IFERROR($I48/$L48,"N/A")</f>
        <v/>
      </c>
      <c r="Q48" s="56">
        <f>IFERROR($J48/$K48,"N/A")</f>
        <v/>
      </c>
    </row>
    <row r="49">
      <c r="B49" s="46" t="inlineStr">
        <is>
          <t>Total Bridge (Ex. Sold)</t>
        </is>
      </c>
      <c r="C49" s="66">
        <f>+C$48-C$34</f>
        <v/>
      </c>
      <c r="D49" s="66">
        <f>+D$48-D$34</f>
        <v/>
      </c>
      <c r="E49" s="66">
        <f>+E$48-E$34</f>
        <v/>
      </c>
      <c r="F49" s="66">
        <f>+F$48-F$34</f>
        <v/>
      </c>
      <c r="G49" s="66">
        <f>+G$48-G$34</f>
        <v/>
      </c>
      <c r="H49" s="66">
        <f>+H$48-H$34</f>
        <v/>
      </c>
      <c r="I49" s="66">
        <f>+I$48-I$34</f>
        <v/>
      </c>
      <c r="J49" s="66">
        <f>+J$48-J$34</f>
        <v/>
      </c>
      <c r="K49" s="67">
        <f>+K$48-K$34</f>
        <v/>
      </c>
      <c r="L49" s="68">
        <f>+L$48-L$34</f>
        <v/>
      </c>
      <c r="N49" s="13">
        <f>IFERROR(SUM($G49:$I49)/$L49,"N/A")</f>
        <v/>
      </c>
      <c r="O49" s="14">
        <f>IFERROR(SUM($H49:$I49)/$L49,"N/A")</f>
        <v/>
      </c>
      <c r="P49" s="14">
        <f>IFERROR($I49/$L49,"N/A")</f>
        <v/>
      </c>
      <c r="Q49" s="15">
        <f>IFERROR($J49/$K49,"N/A")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B2:Q35"/>
  <sheetViews>
    <sheetView showGridLines="0" zoomScale="85" zoomScaleNormal="85" workbookViewId="0">
      <selection activeCell="A1" sqref="A1"/>
    </sheetView>
  </sheetViews>
  <sheetFormatPr baseColWidth="8" defaultRowHeight="14.5" outlineLevelRow="1"/>
  <cols>
    <col width="21.54296875" customWidth="1" min="2" max="2"/>
    <col width="17.26953125" customWidth="1" min="3" max="12"/>
    <col width="11.7265625" customWidth="1" min="14" max="17"/>
  </cols>
  <sheetData>
    <row r="2" ht="23.5" customHeight="1">
      <c r="B2" s="59" t="inlineStr">
        <is>
          <t>Term Portfolio</t>
        </is>
      </c>
    </row>
    <row r="4">
      <c r="B4" s="39" t="inlineStr">
        <is>
          <t>Summary by Segment:</t>
        </is>
      </c>
    </row>
    <row r="5" ht="22.5" customHeight="1">
      <c r="B5" s="42" t="n"/>
      <c r="C5" s="42" t="inlineStr">
        <is>
          <t>Loan Count</t>
        </is>
      </c>
      <c r="D5" s="42" t="inlineStr">
        <is>
          <t>Asset Count</t>
        </is>
      </c>
      <c r="E5" s="42" t="inlineStr">
        <is>
          <t>Current</t>
        </is>
      </c>
      <c r="F5" s="42" t="inlineStr">
        <is>
          <t>DQ 1-29</t>
        </is>
      </c>
      <c r="G5" s="42" t="inlineStr">
        <is>
          <t>DQ 30-59</t>
        </is>
      </c>
      <c r="H5" s="42" t="inlineStr">
        <is>
          <t>DQ 60-89</t>
        </is>
      </c>
      <c r="I5" s="42" t="inlineStr">
        <is>
          <t>DQ 90+</t>
        </is>
      </c>
      <c r="J5" s="42" t="inlineStr">
        <is>
          <t>REO</t>
        </is>
      </c>
      <c r="K5" s="43" t="inlineStr">
        <is>
          <t>Total</t>
        </is>
      </c>
      <c r="L5" s="42" t="inlineStr">
        <is>
          <t>Total Ex. REO</t>
        </is>
      </c>
      <c r="N5" s="42" t="inlineStr">
        <is>
          <t>DQ 30+ %</t>
        </is>
      </c>
      <c r="O5" s="42" t="inlineStr">
        <is>
          <t>DQ 60+ %</t>
        </is>
      </c>
      <c r="P5" s="42" t="inlineStr">
        <is>
          <t>DQ 90+ %</t>
        </is>
      </c>
      <c r="Q5" s="42" t="inlineStr">
        <is>
          <t>REO %</t>
        </is>
      </c>
    </row>
    <row r="6" ht="15" customHeight="1" thickBot="1">
      <c r="B6" s="39" t="inlineStr">
        <is>
          <t>Legacy</t>
        </is>
      </c>
      <c r="C6" s="61">
        <f>COUNTIFS('Term Loan'!$K:$K,'Term Summary'!$B6)</f>
        <v/>
      </c>
      <c r="D6" s="61">
        <f>COUNTIFS('Term Asset'!$E:$E,'Term Summary'!$B6)</f>
        <v/>
      </c>
      <c r="E6" s="61">
        <f>SUMIFS('Term Loan'!$P:$P,'Term Loan'!$K:$K,'Term Summary'!$B6,'Term Loan'!$V:$V,'Term Summary'!E$5)</f>
        <v/>
      </c>
      <c r="F6" s="61">
        <f>SUMIFS('Term Loan'!$P:$P,'Term Loan'!$K:$K,'Term Summary'!$B6,'Term Loan'!$V:$V,'Term Summary'!F$5)</f>
        <v/>
      </c>
      <c r="G6" s="61">
        <f>SUMIFS('Term Loan'!$P:$P,'Term Loan'!$K:$K,'Term Summary'!$B6,'Term Loan'!$V:$V,'Term Summary'!G$5)</f>
        <v/>
      </c>
      <c r="H6" s="61">
        <f>SUMIFS('Term Loan'!$P:$P,'Term Loan'!$K:$K,'Term Summary'!$B6,'Term Loan'!$V:$V,'Term Summary'!H$5)</f>
        <v/>
      </c>
      <c r="I6" s="61">
        <f>SUMIFS('Term Loan'!$P:$P,'Term Loan'!$K:$K,'Term Summary'!$B6,'Term Loan'!$V:$V,'Term Summary'!I$5)</f>
        <v/>
      </c>
      <c r="J6" s="61">
        <f>SUMIFS('Term Loan'!$P:$P,'Term Loan'!$K:$K,'Term Summary'!$B6,'Term Loan'!$V:$V,'Term Summary'!J$5)</f>
        <v/>
      </c>
      <c r="K6" s="63">
        <f>SUM($E6:$J6)</f>
        <v/>
      </c>
      <c r="L6" s="61">
        <f>+$K6-$J6</f>
        <v/>
      </c>
      <c r="N6" s="12">
        <f>IFERROR(SUM($G6:$I6)/$L6,"N/A")</f>
        <v/>
      </c>
      <c r="O6" s="12">
        <f>IFERROR(SUM($H6:$I6)/$L6,"N/A")</f>
        <v/>
      </c>
      <c r="P6" s="12">
        <f>IFERROR($I6/$L6,"N/A")</f>
        <v/>
      </c>
      <c r="Q6" s="12">
        <f>IFERROR($J6/$K6,"N/A")</f>
        <v/>
      </c>
    </row>
    <row r="7" ht="15" customHeight="1" thickBot="1">
      <c r="B7" s="39" t="inlineStr">
        <is>
          <t>Securitized Term</t>
        </is>
      </c>
      <c r="C7" s="61">
        <f>SUM(C$8:C$24)</f>
        <v/>
      </c>
      <c r="D7" s="61">
        <f>SUM(D$8:D$24)</f>
        <v/>
      </c>
      <c r="E7" s="61">
        <f>SUM(E$8:E$24)</f>
        <v/>
      </c>
      <c r="F7" s="61">
        <f>SUM(F$8:F$24)</f>
        <v/>
      </c>
      <c r="G7" s="61">
        <f>SUM(G$8:G$24)</f>
        <v/>
      </c>
      <c r="H7" s="61">
        <f>SUM(H$8:H$24)</f>
        <v/>
      </c>
      <c r="I7" s="61">
        <f>SUM(I$8:I$24)</f>
        <v/>
      </c>
      <c r="J7" s="61">
        <f>SUM(J$8:J$24)</f>
        <v/>
      </c>
      <c r="K7" s="63">
        <f>SUM($E7:$J7)</f>
        <v/>
      </c>
      <c r="L7" s="61">
        <f>+$K7-$J7</f>
        <v/>
      </c>
      <c r="N7" s="12">
        <f>IFERROR(SUM($G7:$I7)/$L7,"N/A")</f>
        <v/>
      </c>
      <c r="O7" s="12">
        <f>IFERROR(SUM($H7:$I7)/$L7,"N/A")</f>
        <v/>
      </c>
      <c r="P7" s="22">
        <f>IFERROR($I7/$L7,"N/A")</f>
        <v/>
      </c>
      <c r="Q7" s="12">
        <f>IFERROR($J7/$K7,"N/A")</f>
        <v/>
      </c>
    </row>
    <row r="8" outlineLevel="1">
      <c r="B8" s="40" t="inlineStr">
        <is>
          <t>2017-2</t>
        </is>
      </c>
      <c r="C8" s="64">
        <f>COUNTIFS('Term Loan'!$K:$K,'Term Summary'!$B$7,'Term Loan'!$L:$L,'Term Summary'!$B8)</f>
        <v/>
      </c>
      <c r="D8" s="64">
        <f>COUNTIFS('Term Asset'!$E:$E,'Term Summary'!$B$7,'Term Asset'!$F:$F,'Term Summary'!$B8)</f>
        <v/>
      </c>
      <c r="E8" s="64">
        <f>SUMIFS('Term Loan'!$P:$P,'Term Loan'!$K:$K,'Term Summary'!$B$7,'Term Loan'!$L:$L,'Term Summary'!$B8,'Term Loan'!$V:$V,'Term Summary'!E$5)</f>
        <v/>
      </c>
      <c r="F8" s="64">
        <f>SUMIFS('Term Loan'!$P:$P,'Term Loan'!$K:$K,'Term Summary'!$B$7,'Term Loan'!$L:$L,'Term Summary'!$B8,'Term Loan'!$V:$V,'Term Summary'!F$5)</f>
        <v/>
      </c>
      <c r="G8" s="64">
        <f>SUMIFS('Term Loan'!$P:$P,'Term Loan'!$K:$K,'Term Summary'!$B$7,'Term Loan'!$L:$L,'Term Summary'!$B8,'Term Loan'!$V:$V,'Term Summary'!G$5)</f>
        <v/>
      </c>
      <c r="H8" s="64">
        <f>SUMIFS('Term Loan'!$P:$P,'Term Loan'!$K:$K,'Term Summary'!$B$7,'Term Loan'!$L:$L,'Term Summary'!$B8,'Term Loan'!$V:$V,'Term Summary'!H$5)</f>
        <v/>
      </c>
      <c r="I8" s="64">
        <f>SUMIFS('Term Loan'!$P:$P,'Term Loan'!$K:$K,'Term Summary'!$B$7,'Term Loan'!$L:$L,'Term Summary'!$B8,'Term Loan'!$V:$V,'Term Summary'!I$5)</f>
        <v/>
      </c>
      <c r="J8" s="64">
        <f>SUMIFS('Term Loan'!$P:$P,'Term Loan'!$K:$K,'Term Summary'!$B$7,'Term Loan'!$L:$L,'Term Summary'!$B8,'Term Loan'!$V:$V,'Term Summary'!J$5)</f>
        <v/>
      </c>
      <c r="K8" s="65">
        <f>SUM($E8:$J8)</f>
        <v/>
      </c>
      <c r="L8" s="64">
        <f>+$K8-$J8</f>
        <v/>
      </c>
      <c r="N8" s="12">
        <f>IFERROR(SUM($G8:$I8)/$L8,"N/A")</f>
        <v/>
      </c>
      <c r="O8" s="12">
        <f>IFERROR(SUM($H8:$I8)/$L8,"N/A")</f>
        <v/>
      </c>
      <c r="P8" s="12">
        <f>IFERROR($I8/$L8,"N/A")</f>
        <v/>
      </c>
      <c r="Q8" s="12">
        <f>IFERROR($J8/$K8,"N/A")</f>
        <v/>
      </c>
    </row>
    <row r="9" outlineLevel="1">
      <c r="B9" s="40" t="inlineStr">
        <is>
          <t>2018-1</t>
        </is>
      </c>
      <c r="C9" s="64">
        <f>COUNTIFS('Term Loan'!$K:$K,'Term Summary'!$B$7,'Term Loan'!$L:$L,'Term Summary'!$B9)</f>
        <v/>
      </c>
      <c r="D9" s="64">
        <f>COUNTIFS('Term Asset'!$E:$E,'Term Summary'!$B$7,'Term Asset'!$F:$F,'Term Summary'!$B9)</f>
        <v/>
      </c>
      <c r="E9" s="64">
        <f>SUMIFS('Term Loan'!$P:$P,'Term Loan'!$K:$K,'Term Summary'!$B$7,'Term Loan'!$L:$L,'Term Summary'!$B9,'Term Loan'!$V:$V,'Term Summary'!E$5)</f>
        <v/>
      </c>
      <c r="F9" s="64">
        <f>SUMIFS('Term Loan'!$P:$P,'Term Loan'!$K:$K,'Term Summary'!$B$7,'Term Loan'!$L:$L,'Term Summary'!$B9,'Term Loan'!$V:$V,'Term Summary'!F$5)</f>
        <v/>
      </c>
      <c r="G9" s="64">
        <f>SUMIFS('Term Loan'!$P:$P,'Term Loan'!$K:$K,'Term Summary'!$B$7,'Term Loan'!$L:$L,'Term Summary'!$B9,'Term Loan'!$V:$V,'Term Summary'!G$5)</f>
        <v/>
      </c>
      <c r="H9" s="64">
        <f>SUMIFS('Term Loan'!$P:$P,'Term Loan'!$K:$K,'Term Summary'!$B$7,'Term Loan'!$L:$L,'Term Summary'!$B9,'Term Loan'!$V:$V,'Term Summary'!H$5)</f>
        <v/>
      </c>
      <c r="I9" s="64">
        <f>SUMIFS('Term Loan'!$P:$P,'Term Loan'!$K:$K,'Term Summary'!$B$7,'Term Loan'!$L:$L,'Term Summary'!$B9,'Term Loan'!$V:$V,'Term Summary'!I$5)</f>
        <v/>
      </c>
      <c r="J9" s="64">
        <f>SUMIFS('Term Loan'!$P:$P,'Term Loan'!$K:$K,'Term Summary'!$B$7,'Term Loan'!$L:$L,'Term Summary'!$B9,'Term Loan'!$V:$V,'Term Summary'!J$5)</f>
        <v/>
      </c>
      <c r="K9" s="65">
        <f>SUM($E9:$J9)</f>
        <v/>
      </c>
      <c r="L9" s="64">
        <f>+$K9-$J9</f>
        <v/>
      </c>
      <c r="N9" s="12">
        <f>IFERROR(SUM($G9:$I9)/$L9,"N/A")</f>
        <v/>
      </c>
      <c r="O9" s="12">
        <f>IFERROR(SUM($H9:$I9)/$L9,"N/A")</f>
        <v/>
      </c>
      <c r="P9" s="12">
        <f>IFERROR($I9/$L9,"N/A")</f>
        <v/>
      </c>
      <c r="Q9" s="12">
        <f>IFERROR($J9/$K9,"N/A")</f>
        <v/>
      </c>
    </row>
    <row r="10" outlineLevel="1">
      <c r="B10" s="40" t="inlineStr">
        <is>
          <t>2018-2</t>
        </is>
      </c>
      <c r="C10" s="64">
        <f>COUNTIFS('Term Loan'!$K:$K,'Term Summary'!$B$7,'Term Loan'!$L:$L,'Term Summary'!$B10)</f>
        <v/>
      </c>
      <c r="D10" s="64">
        <f>COUNTIFS('Term Asset'!$E:$E,'Term Summary'!$B$7,'Term Asset'!$F:$F,'Term Summary'!$B10)</f>
        <v/>
      </c>
      <c r="E10" s="64">
        <f>SUMIFS('Term Loan'!$P:$P,'Term Loan'!$K:$K,'Term Summary'!$B$7,'Term Loan'!$L:$L,'Term Summary'!$B10,'Term Loan'!$V:$V,'Term Summary'!E$5)</f>
        <v/>
      </c>
      <c r="F10" s="64">
        <f>SUMIFS('Term Loan'!$P:$P,'Term Loan'!$K:$K,'Term Summary'!$B$7,'Term Loan'!$L:$L,'Term Summary'!$B10,'Term Loan'!$V:$V,'Term Summary'!F$5)</f>
        <v/>
      </c>
      <c r="G10" s="64">
        <f>SUMIFS('Term Loan'!$P:$P,'Term Loan'!$K:$K,'Term Summary'!$B$7,'Term Loan'!$L:$L,'Term Summary'!$B10,'Term Loan'!$V:$V,'Term Summary'!G$5)</f>
        <v/>
      </c>
      <c r="H10" s="64">
        <f>SUMIFS('Term Loan'!$P:$P,'Term Loan'!$K:$K,'Term Summary'!$B$7,'Term Loan'!$L:$L,'Term Summary'!$B10,'Term Loan'!$V:$V,'Term Summary'!H$5)</f>
        <v/>
      </c>
      <c r="I10" s="64">
        <f>SUMIFS('Term Loan'!$P:$P,'Term Loan'!$K:$K,'Term Summary'!$B$7,'Term Loan'!$L:$L,'Term Summary'!$B10,'Term Loan'!$V:$V,'Term Summary'!I$5)</f>
        <v/>
      </c>
      <c r="J10" s="64">
        <f>SUMIFS('Term Loan'!$P:$P,'Term Loan'!$K:$K,'Term Summary'!$B$7,'Term Loan'!$L:$L,'Term Summary'!$B10,'Term Loan'!$V:$V,'Term Summary'!J$5)</f>
        <v/>
      </c>
      <c r="K10" s="65">
        <f>SUM($E10:$J10)</f>
        <v/>
      </c>
      <c r="L10" s="64">
        <f>+$K10-$J10</f>
        <v/>
      </c>
      <c r="N10" s="12">
        <f>IFERROR(SUM($G10:$I10)/$L10,"N/A")</f>
        <v/>
      </c>
      <c r="O10" s="12">
        <f>IFERROR(SUM($H10:$I10)/$L10,"N/A")</f>
        <v/>
      </c>
      <c r="P10" s="12">
        <f>IFERROR($I10/$L10,"N/A")</f>
        <v/>
      </c>
      <c r="Q10" s="12">
        <f>IFERROR($J10/$K10,"N/A")</f>
        <v/>
      </c>
    </row>
    <row r="11" outlineLevel="1">
      <c r="B11" s="40" t="inlineStr">
        <is>
          <t>2019-1</t>
        </is>
      </c>
      <c r="C11" s="64">
        <f>COUNTIFS('Term Loan'!$K:$K,'Term Summary'!$B$7,'Term Loan'!$L:$L,'Term Summary'!$B11)</f>
        <v/>
      </c>
      <c r="D11" s="64">
        <f>COUNTIFS('Term Asset'!$E:$E,'Term Summary'!$B$7,'Term Asset'!$F:$F,'Term Summary'!$B11)</f>
        <v/>
      </c>
      <c r="E11" s="64">
        <f>SUMIFS('Term Loan'!$P:$P,'Term Loan'!$K:$K,'Term Summary'!$B$7,'Term Loan'!$L:$L,'Term Summary'!$B11,'Term Loan'!$V:$V,'Term Summary'!E$5)</f>
        <v/>
      </c>
      <c r="F11" s="64">
        <f>SUMIFS('Term Loan'!$P:$P,'Term Loan'!$K:$K,'Term Summary'!$B$7,'Term Loan'!$L:$L,'Term Summary'!$B11,'Term Loan'!$V:$V,'Term Summary'!F$5)</f>
        <v/>
      </c>
      <c r="G11" s="64">
        <f>SUMIFS('Term Loan'!$P:$P,'Term Loan'!$K:$K,'Term Summary'!$B$7,'Term Loan'!$L:$L,'Term Summary'!$B11,'Term Loan'!$V:$V,'Term Summary'!G$5)</f>
        <v/>
      </c>
      <c r="H11" s="64">
        <f>SUMIFS('Term Loan'!$P:$P,'Term Loan'!$K:$K,'Term Summary'!$B$7,'Term Loan'!$L:$L,'Term Summary'!$B11,'Term Loan'!$V:$V,'Term Summary'!H$5)</f>
        <v/>
      </c>
      <c r="I11" s="64">
        <f>SUMIFS('Term Loan'!$P:$P,'Term Loan'!$K:$K,'Term Summary'!$B$7,'Term Loan'!$L:$L,'Term Summary'!$B11,'Term Loan'!$V:$V,'Term Summary'!I$5)</f>
        <v/>
      </c>
      <c r="J11" s="64">
        <f>SUMIFS('Term Loan'!$P:$P,'Term Loan'!$K:$K,'Term Summary'!$B$7,'Term Loan'!$L:$L,'Term Summary'!$B11,'Term Loan'!$V:$V,'Term Summary'!J$5)</f>
        <v/>
      </c>
      <c r="K11" s="65">
        <f>SUM($E11:$J11)</f>
        <v/>
      </c>
      <c r="L11" s="64">
        <f>+$K11-$J11</f>
        <v/>
      </c>
      <c r="N11" s="12">
        <f>IFERROR(SUM($G11:$I11)/$L11,"N/A")</f>
        <v/>
      </c>
      <c r="O11" s="12">
        <f>IFERROR(SUM($H11:$I11)/$L11,"N/A")</f>
        <v/>
      </c>
      <c r="P11" s="12">
        <f>IFERROR($I11/$L11,"N/A")</f>
        <v/>
      </c>
      <c r="Q11" s="12">
        <f>IFERROR($J11/$K11,"N/A")</f>
        <v/>
      </c>
    </row>
    <row r="12" outlineLevel="1">
      <c r="B12" s="40" t="inlineStr">
        <is>
          <t>2019-2</t>
        </is>
      </c>
      <c r="C12" s="64">
        <f>COUNTIFS('Term Loan'!$K:$K,'Term Summary'!$B$7,'Term Loan'!$L:$L,'Term Summary'!$B12)</f>
        <v/>
      </c>
      <c r="D12" s="64">
        <f>COUNTIFS('Term Asset'!$E:$E,'Term Summary'!$B$7,'Term Asset'!$F:$F,'Term Summary'!$B12)</f>
        <v/>
      </c>
      <c r="E12" s="64">
        <f>SUMIFS('Term Loan'!$P:$P,'Term Loan'!$K:$K,'Term Summary'!$B$7,'Term Loan'!$L:$L,'Term Summary'!$B12,'Term Loan'!$V:$V,'Term Summary'!E$5)</f>
        <v/>
      </c>
      <c r="F12" s="64">
        <f>SUMIFS('Term Loan'!$P:$P,'Term Loan'!$K:$K,'Term Summary'!$B$7,'Term Loan'!$L:$L,'Term Summary'!$B12,'Term Loan'!$V:$V,'Term Summary'!F$5)</f>
        <v/>
      </c>
      <c r="G12" s="64">
        <f>SUMIFS('Term Loan'!$P:$P,'Term Loan'!$K:$K,'Term Summary'!$B$7,'Term Loan'!$L:$L,'Term Summary'!$B12,'Term Loan'!$V:$V,'Term Summary'!G$5)</f>
        <v/>
      </c>
      <c r="H12" s="64">
        <f>SUMIFS('Term Loan'!$P:$P,'Term Loan'!$K:$K,'Term Summary'!$B$7,'Term Loan'!$L:$L,'Term Summary'!$B12,'Term Loan'!$V:$V,'Term Summary'!H$5)</f>
        <v/>
      </c>
      <c r="I12" s="64">
        <f>SUMIFS('Term Loan'!$P:$P,'Term Loan'!$K:$K,'Term Summary'!$B$7,'Term Loan'!$L:$L,'Term Summary'!$B12,'Term Loan'!$V:$V,'Term Summary'!I$5)</f>
        <v/>
      </c>
      <c r="J12" s="64">
        <f>SUMIFS('Term Loan'!$P:$P,'Term Loan'!$K:$K,'Term Summary'!$B$7,'Term Loan'!$L:$L,'Term Summary'!$B12,'Term Loan'!$V:$V,'Term Summary'!J$5)</f>
        <v/>
      </c>
      <c r="K12" s="65">
        <f>SUM($E12:$J12)</f>
        <v/>
      </c>
      <c r="L12" s="64">
        <f>+$K12-$J12</f>
        <v/>
      </c>
      <c r="N12" s="12">
        <f>IFERROR(SUM($G12:$I12)/$L12,"N/A")</f>
        <v/>
      </c>
      <c r="O12" s="12">
        <f>IFERROR(SUM($H12:$I12)/$L12,"N/A")</f>
        <v/>
      </c>
      <c r="P12" s="12">
        <f>IFERROR($I12/$L12,"N/A")</f>
        <v/>
      </c>
      <c r="Q12" s="12">
        <f>IFERROR($J12/$K12,"N/A")</f>
        <v/>
      </c>
    </row>
    <row r="13" outlineLevel="1">
      <c r="B13" s="40" t="inlineStr">
        <is>
          <t>2019-3</t>
        </is>
      </c>
      <c r="C13" s="64">
        <f>COUNTIFS('Term Loan'!$K:$K,'Term Summary'!$B$7,'Term Loan'!$L:$L,'Term Summary'!$B13)</f>
        <v/>
      </c>
      <c r="D13" s="64">
        <f>COUNTIFS('Term Asset'!$E:$E,'Term Summary'!$B$7,'Term Asset'!$F:$F,'Term Summary'!$B13)</f>
        <v/>
      </c>
      <c r="E13" s="64">
        <f>SUMIFS('Term Loan'!$P:$P,'Term Loan'!$K:$K,'Term Summary'!$B$7,'Term Loan'!$L:$L,'Term Summary'!$B13,'Term Loan'!$V:$V,'Term Summary'!E$5)</f>
        <v/>
      </c>
      <c r="F13" s="64">
        <f>SUMIFS('Term Loan'!$P:$P,'Term Loan'!$K:$K,'Term Summary'!$B$7,'Term Loan'!$L:$L,'Term Summary'!$B13,'Term Loan'!$V:$V,'Term Summary'!F$5)</f>
        <v/>
      </c>
      <c r="G13" s="64">
        <f>SUMIFS('Term Loan'!$P:$P,'Term Loan'!$K:$K,'Term Summary'!$B$7,'Term Loan'!$L:$L,'Term Summary'!$B13,'Term Loan'!$V:$V,'Term Summary'!G$5)</f>
        <v/>
      </c>
      <c r="H13" s="64">
        <f>SUMIFS('Term Loan'!$P:$P,'Term Loan'!$K:$K,'Term Summary'!$B$7,'Term Loan'!$L:$L,'Term Summary'!$B13,'Term Loan'!$V:$V,'Term Summary'!H$5)</f>
        <v/>
      </c>
      <c r="I13" s="64">
        <f>SUMIFS('Term Loan'!$P:$P,'Term Loan'!$K:$K,'Term Summary'!$B$7,'Term Loan'!$L:$L,'Term Summary'!$B13,'Term Loan'!$V:$V,'Term Summary'!I$5)</f>
        <v/>
      </c>
      <c r="J13" s="64">
        <f>SUMIFS('Term Loan'!$P:$P,'Term Loan'!$K:$K,'Term Summary'!$B$7,'Term Loan'!$L:$L,'Term Summary'!$B13,'Term Loan'!$V:$V,'Term Summary'!J$5)</f>
        <v/>
      </c>
      <c r="K13" s="65">
        <f>SUM($E13:$J13)</f>
        <v/>
      </c>
      <c r="L13" s="64">
        <f>+$K13-$J13</f>
        <v/>
      </c>
      <c r="N13" s="12">
        <f>IFERROR(SUM($G13:$I13)/$L13,"N/A")</f>
        <v/>
      </c>
      <c r="O13" s="12">
        <f>IFERROR(SUM($H13:$I13)/$L13,"N/A")</f>
        <v/>
      </c>
      <c r="P13" s="12">
        <f>IFERROR($I13/$L13,"N/A")</f>
        <v/>
      </c>
      <c r="Q13" s="12">
        <f>IFERROR($J13/$K13,"N/A")</f>
        <v/>
      </c>
    </row>
    <row r="14" outlineLevel="1">
      <c r="B14" s="40" t="inlineStr">
        <is>
          <t>2020-1</t>
        </is>
      </c>
      <c r="C14" s="64">
        <f>COUNTIFS('Term Loan'!$K:$K,'Term Summary'!$B$7,'Term Loan'!$L:$L,'Term Summary'!$B14)</f>
        <v/>
      </c>
      <c r="D14" s="64">
        <f>COUNTIFS('Term Asset'!$E:$E,'Term Summary'!$B$7,'Term Asset'!$F:$F,'Term Summary'!$B14)</f>
        <v/>
      </c>
      <c r="E14" s="64">
        <f>SUMIFS('Term Loan'!$P:$P,'Term Loan'!$K:$K,'Term Summary'!$B$7,'Term Loan'!$L:$L,'Term Summary'!$B14,'Term Loan'!$V:$V,'Term Summary'!E$5)</f>
        <v/>
      </c>
      <c r="F14" s="64">
        <f>SUMIFS('Term Loan'!$P:$P,'Term Loan'!$K:$K,'Term Summary'!$B$7,'Term Loan'!$L:$L,'Term Summary'!$B14,'Term Loan'!$V:$V,'Term Summary'!F$5)</f>
        <v/>
      </c>
      <c r="G14" s="64">
        <f>SUMIFS('Term Loan'!$P:$P,'Term Loan'!$K:$K,'Term Summary'!$B$7,'Term Loan'!$L:$L,'Term Summary'!$B14,'Term Loan'!$V:$V,'Term Summary'!G$5)</f>
        <v/>
      </c>
      <c r="H14" s="64">
        <f>SUMIFS('Term Loan'!$P:$P,'Term Loan'!$K:$K,'Term Summary'!$B$7,'Term Loan'!$L:$L,'Term Summary'!$B14,'Term Loan'!$V:$V,'Term Summary'!H$5)</f>
        <v/>
      </c>
      <c r="I14" s="64">
        <f>SUMIFS('Term Loan'!$P:$P,'Term Loan'!$K:$K,'Term Summary'!$B$7,'Term Loan'!$L:$L,'Term Summary'!$B14,'Term Loan'!$V:$V,'Term Summary'!I$5)</f>
        <v/>
      </c>
      <c r="J14" s="64">
        <f>SUMIFS('Term Loan'!$P:$P,'Term Loan'!$K:$K,'Term Summary'!$B$7,'Term Loan'!$L:$L,'Term Summary'!$B14,'Term Loan'!$V:$V,'Term Summary'!J$5)</f>
        <v/>
      </c>
      <c r="K14" s="65">
        <f>SUM($E14:$J14)</f>
        <v/>
      </c>
      <c r="L14" s="64">
        <f>+$K14-$J14</f>
        <v/>
      </c>
      <c r="N14" s="12">
        <f>IFERROR(SUM($G14:$I14)/$L14,"N/A")</f>
        <v/>
      </c>
      <c r="O14" s="12">
        <f>IFERROR(SUM($H14:$I14)/$L14,"N/A")</f>
        <v/>
      </c>
      <c r="P14" s="12">
        <f>IFERROR($I14/$L14,"N/A")</f>
        <v/>
      </c>
      <c r="Q14" s="12">
        <f>IFERROR($J14/$K14,"N/A")</f>
        <v/>
      </c>
    </row>
    <row r="15" outlineLevel="1">
      <c r="B15" s="40" t="inlineStr">
        <is>
          <t>2020-2</t>
        </is>
      </c>
      <c r="C15" s="64">
        <f>COUNTIFS('Term Loan'!$K:$K,'Term Summary'!$B$7,'Term Loan'!$L:$L,'Term Summary'!$B15)</f>
        <v/>
      </c>
      <c r="D15" s="64">
        <f>COUNTIFS('Term Asset'!$E:$E,'Term Summary'!$B$7,'Term Asset'!$F:$F,'Term Summary'!$B15)</f>
        <v/>
      </c>
      <c r="E15" s="64">
        <f>SUMIFS('Term Loan'!$P:$P,'Term Loan'!$K:$K,'Term Summary'!$B$7,'Term Loan'!$L:$L,'Term Summary'!$B15,'Term Loan'!$V:$V,'Term Summary'!E$5)</f>
        <v/>
      </c>
      <c r="F15" s="64">
        <f>SUMIFS('Term Loan'!$P:$P,'Term Loan'!$K:$K,'Term Summary'!$B$7,'Term Loan'!$L:$L,'Term Summary'!$B15,'Term Loan'!$V:$V,'Term Summary'!F$5)</f>
        <v/>
      </c>
      <c r="G15" s="64">
        <f>SUMIFS('Term Loan'!$P:$P,'Term Loan'!$K:$K,'Term Summary'!$B$7,'Term Loan'!$L:$L,'Term Summary'!$B15,'Term Loan'!$V:$V,'Term Summary'!G$5)</f>
        <v/>
      </c>
      <c r="H15" s="64">
        <f>SUMIFS('Term Loan'!$P:$P,'Term Loan'!$K:$K,'Term Summary'!$B$7,'Term Loan'!$L:$L,'Term Summary'!$B15,'Term Loan'!$V:$V,'Term Summary'!H$5)</f>
        <v/>
      </c>
      <c r="I15" s="64">
        <f>SUMIFS('Term Loan'!$P:$P,'Term Loan'!$K:$K,'Term Summary'!$B$7,'Term Loan'!$L:$L,'Term Summary'!$B15,'Term Loan'!$V:$V,'Term Summary'!I$5)</f>
        <v/>
      </c>
      <c r="J15" s="64">
        <f>SUMIFS('Term Loan'!$P:$P,'Term Loan'!$K:$K,'Term Summary'!$B$7,'Term Loan'!$L:$L,'Term Summary'!$B15,'Term Loan'!$V:$V,'Term Summary'!J$5)</f>
        <v/>
      </c>
      <c r="K15" s="65">
        <f>SUM($E15:$J15)</f>
        <v/>
      </c>
      <c r="L15" s="64">
        <f>+$K15-$J15</f>
        <v/>
      </c>
      <c r="N15" s="12">
        <f>IFERROR(SUM($G15:$I15)/$L15,"N/A")</f>
        <v/>
      </c>
      <c r="O15" s="12">
        <f>IFERROR(SUM($H15:$I15)/$L15,"N/A")</f>
        <v/>
      </c>
      <c r="P15" s="12">
        <f>IFERROR($I15/$L15,"N/A")</f>
        <v/>
      </c>
      <c r="Q15" s="12">
        <f>IFERROR($J15/$K15,"N/A")</f>
        <v/>
      </c>
    </row>
    <row r="16" outlineLevel="1">
      <c r="B16" s="40" t="inlineStr">
        <is>
          <t>2020-3</t>
        </is>
      </c>
      <c r="C16" s="64">
        <f>COUNTIFS('Term Loan'!$K:$K,'Term Summary'!$B$7,'Term Loan'!$L:$L,'Term Summary'!$B16)</f>
        <v/>
      </c>
      <c r="D16" s="64">
        <f>COUNTIFS('Term Asset'!$E:$E,'Term Summary'!$B$7,'Term Asset'!$F:$F,'Term Summary'!$B16)</f>
        <v/>
      </c>
      <c r="E16" s="64">
        <f>SUMIFS('Term Loan'!$P:$P,'Term Loan'!$K:$K,'Term Summary'!$B$7,'Term Loan'!$L:$L,'Term Summary'!$B16,'Term Loan'!$V:$V,'Term Summary'!E$5)</f>
        <v/>
      </c>
      <c r="F16" s="64">
        <f>SUMIFS('Term Loan'!$P:$P,'Term Loan'!$K:$K,'Term Summary'!$B$7,'Term Loan'!$L:$L,'Term Summary'!$B16,'Term Loan'!$V:$V,'Term Summary'!F$5)</f>
        <v/>
      </c>
      <c r="G16" s="64">
        <f>SUMIFS('Term Loan'!$P:$P,'Term Loan'!$K:$K,'Term Summary'!$B$7,'Term Loan'!$L:$L,'Term Summary'!$B16,'Term Loan'!$V:$V,'Term Summary'!G$5)</f>
        <v/>
      </c>
      <c r="H16" s="64">
        <f>SUMIFS('Term Loan'!$P:$P,'Term Loan'!$K:$K,'Term Summary'!$B$7,'Term Loan'!$L:$L,'Term Summary'!$B16,'Term Loan'!$V:$V,'Term Summary'!H$5)</f>
        <v/>
      </c>
      <c r="I16" s="64">
        <f>SUMIFS('Term Loan'!$P:$P,'Term Loan'!$K:$K,'Term Summary'!$B$7,'Term Loan'!$L:$L,'Term Summary'!$B16,'Term Loan'!$V:$V,'Term Summary'!I$5)</f>
        <v/>
      </c>
      <c r="J16" s="64">
        <f>SUMIFS('Term Loan'!$P:$P,'Term Loan'!$K:$K,'Term Summary'!$B$7,'Term Loan'!$L:$L,'Term Summary'!$B16,'Term Loan'!$V:$V,'Term Summary'!J$5)</f>
        <v/>
      </c>
      <c r="K16" s="65">
        <f>SUM($E16:$J16)</f>
        <v/>
      </c>
      <c r="L16" s="64">
        <f>+$K16-$J16</f>
        <v/>
      </c>
      <c r="N16" s="12">
        <f>IFERROR(SUM($G16:$I16)/$L16,"N/A")</f>
        <v/>
      </c>
      <c r="O16" s="12">
        <f>IFERROR(SUM($H16:$I16)/$L16,"N/A")</f>
        <v/>
      </c>
      <c r="P16" s="12">
        <f>IFERROR($I16/$L16,"N/A")</f>
        <v/>
      </c>
      <c r="Q16" s="12">
        <f>IFERROR($J16/$K16,"N/A")</f>
        <v/>
      </c>
    </row>
    <row r="17" outlineLevel="1">
      <c r="B17" s="40" t="inlineStr">
        <is>
          <t>2020-4</t>
        </is>
      </c>
      <c r="C17" s="64">
        <f>COUNTIFS('Term Loan'!$K:$K,'Term Summary'!$B$7,'Term Loan'!$L:$L,'Term Summary'!$B17)</f>
        <v/>
      </c>
      <c r="D17" s="64">
        <f>COUNTIFS('Term Asset'!$E:$E,'Term Summary'!$B$7,'Term Asset'!$F:$F,'Term Summary'!$B17)</f>
        <v/>
      </c>
      <c r="E17" s="64">
        <f>SUMIFS('Term Loan'!$P:$P,'Term Loan'!$K:$K,'Term Summary'!$B$7,'Term Loan'!$L:$L,'Term Summary'!$B17,'Term Loan'!$V:$V,'Term Summary'!E$5)</f>
        <v/>
      </c>
      <c r="F17" s="64">
        <f>SUMIFS('Term Loan'!$P:$P,'Term Loan'!$K:$K,'Term Summary'!$B$7,'Term Loan'!$L:$L,'Term Summary'!$B17,'Term Loan'!$V:$V,'Term Summary'!F$5)</f>
        <v/>
      </c>
      <c r="G17" s="64">
        <f>SUMIFS('Term Loan'!$P:$P,'Term Loan'!$K:$K,'Term Summary'!$B$7,'Term Loan'!$L:$L,'Term Summary'!$B17,'Term Loan'!$V:$V,'Term Summary'!G$5)</f>
        <v/>
      </c>
      <c r="H17" s="64">
        <f>SUMIFS('Term Loan'!$P:$P,'Term Loan'!$K:$K,'Term Summary'!$B$7,'Term Loan'!$L:$L,'Term Summary'!$B17,'Term Loan'!$V:$V,'Term Summary'!H$5)</f>
        <v/>
      </c>
      <c r="I17" s="64">
        <f>SUMIFS('Term Loan'!$P:$P,'Term Loan'!$K:$K,'Term Summary'!$B$7,'Term Loan'!$L:$L,'Term Summary'!$B17,'Term Loan'!$V:$V,'Term Summary'!I$5)</f>
        <v/>
      </c>
      <c r="J17" s="64">
        <f>SUMIFS('Term Loan'!$P:$P,'Term Loan'!$K:$K,'Term Summary'!$B$7,'Term Loan'!$L:$L,'Term Summary'!$B17,'Term Loan'!$V:$V,'Term Summary'!J$5)</f>
        <v/>
      </c>
      <c r="K17" s="65">
        <f>SUM($E17:$J17)</f>
        <v/>
      </c>
      <c r="L17" s="64">
        <f>+$K17-$J17</f>
        <v/>
      </c>
      <c r="N17" s="12">
        <f>IFERROR(SUM($G17:$I17)/$L17,"N/A")</f>
        <v/>
      </c>
      <c r="O17" s="12">
        <f>IFERROR(SUM($H17:$I17)/$L17,"N/A")</f>
        <v/>
      </c>
      <c r="P17" s="12">
        <f>IFERROR($I17/$L17,"N/A")</f>
        <v/>
      </c>
      <c r="Q17" s="12">
        <f>IFERROR($J17/$K17,"N/A")</f>
        <v/>
      </c>
    </row>
    <row r="18" outlineLevel="1">
      <c r="B18" s="40" t="inlineStr">
        <is>
          <t>2020-P1</t>
        </is>
      </c>
      <c r="C18" s="64">
        <f>COUNTIFS('Term Loan'!$K:$K,'Term Summary'!$B$7,'Term Loan'!$L:$L,'Term Summary'!$B18)</f>
        <v/>
      </c>
      <c r="D18" s="64">
        <f>COUNTIFS('Term Asset'!$E:$E,'Term Summary'!$B$7,'Term Asset'!$F:$F,'Term Summary'!$B18)</f>
        <v/>
      </c>
      <c r="E18" s="64">
        <f>SUMIFS('Term Loan'!$P:$P,'Term Loan'!$K:$K,'Term Summary'!$B$7,'Term Loan'!$L:$L,'Term Summary'!$B18,'Term Loan'!$V:$V,'Term Summary'!E$5)</f>
        <v/>
      </c>
      <c r="F18" s="64">
        <f>SUMIFS('Term Loan'!$P:$P,'Term Loan'!$K:$K,'Term Summary'!$B$7,'Term Loan'!$L:$L,'Term Summary'!$B18,'Term Loan'!$V:$V,'Term Summary'!F$5)</f>
        <v/>
      </c>
      <c r="G18" s="64">
        <f>SUMIFS('Term Loan'!$P:$P,'Term Loan'!$K:$K,'Term Summary'!$B$7,'Term Loan'!$L:$L,'Term Summary'!$B18,'Term Loan'!$V:$V,'Term Summary'!G$5)</f>
        <v/>
      </c>
      <c r="H18" s="64">
        <f>SUMIFS('Term Loan'!$P:$P,'Term Loan'!$K:$K,'Term Summary'!$B$7,'Term Loan'!$L:$L,'Term Summary'!$B18,'Term Loan'!$V:$V,'Term Summary'!H$5)</f>
        <v/>
      </c>
      <c r="I18" s="64">
        <f>SUMIFS('Term Loan'!$P:$P,'Term Loan'!$K:$K,'Term Summary'!$B$7,'Term Loan'!$L:$L,'Term Summary'!$B18,'Term Loan'!$V:$V,'Term Summary'!I$5)</f>
        <v/>
      </c>
      <c r="J18" s="64">
        <f>SUMIFS('Term Loan'!$P:$P,'Term Loan'!$K:$K,'Term Summary'!$B$7,'Term Loan'!$L:$L,'Term Summary'!$B18,'Term Loan'!$V:$V,'Term Summary'!J$5)</f>
        <v/>
      </c>
      <c r="K18" s="65">
        <f>SUM($E18:$J18)</f>
        <v/>
      </c>
      <c r="L18" s="64">
        <f>+$K18-$J18</f>
        <v/>
      </c>
      <c r="N18" s="12">
        <f>IFERROR(SUM($G18:$I18)/$L18,"N/A")</f>
        <v/>
      </c>
      <c r="O18" s="12">
        <f>IFERROR(SUM($H18:$I18)/$L18,"N/A")</f>
        <v/>
      </c>
      <c r="P18" s="12">
        <f>IFERROR($I18/$L18,"N/A")</f>
        <v/>
      </c>
      <c r="Q18" s="12">
        <f>IFERROR($J18/$K18,"N/A")</f>
        <v/>
      </c>
    </row>
    <row r="19" outlineLevel="1">
      <c r="B19" s="40" t="inlineStr">
        <is>
          <t>2021-1</t>
        </is>
      </c>
      <c r="C19" s="64">
        <f>COUNTIFS('Term Loan'!$K:$K,'Term Summary'!$B$7,'Term Loan'!$L:$L,'Term Summary'!$B19)</f>
        <v/>
      </c>
      <c r="D19" s="64">
        <f>COUNTIFS('Term Asset'!$E:$E,'Term Summary'!$B$7,'Term Asset'!$F:$F,'Term Summary'!$B19)</f>
        <v/>
      </c>
      <c r="E19" s="64">
        <f>SUMIFS('Term Loan'!$P:$P,'Term Loan'!$K:$K,'Term Summary'!$B$7,'Term Loan'!$L:$L,'Term Summary'!$B19,'Term Loan'!$V:$V,'Term Summary'!E$5)</f>
        <v/>
      </c>
      <c r="F19" s="64">
        <f>SUMIFS('Term Loan'!$P:$P,'Term Loan'!$K:$K,'Term Summary'!$B$7,'Term Loan'!$L:$L,'Term Summary'!$B19,'Term Loan'!$V:$V,'Term Summary'!F$5)</f>
        <v/>
      </c>
      <c r="G19" s="64">
        <f>SUMIFS('Term Loan'!$P:$P,'Term Loan'!$K:$K,'Term Summary'!$B$7,'Term Loan'!$L:$L,'Term Summary'!$B19,'Term Loan'!$V:$V,'Term Summary'!G$5)</f>
        <v/>
      </c>
      <c r="H19" s="64">
        <f>SUMIFS('Term Loan'!$P:$P,'Term Loan'!$K:$K,'Term Summary'!$B$7,'Term Loan'!$L:$L,'Term Summary'!$B19,'Term Loan'!$V:$V,'Term Summary'!H$5)</f>
        <v/>
      </c>
      <c r="I19" s="64">
        <f>SUMIFS('Term Loan'!$P:$P,'Term Loan'!$K:$K,'Term Summary'!$B$7,'Term Loan'!$L:$L,'Term Summary'!$B19,'Term Loan'!$V:$V,'Term Summary'!I$5)</f>
        <v/>
      </c>
      <c r="J19" s="64">
        <f>SUMIFS('Term Loan'!$P:$P,'Term Loan'!$K:$K,'Term Summary'!$B$7,'Term Loan'!$L:$L,'Term Summary'!$B19,'Term Loan'!$V:$V,'Term Summary'!J$5)</f>
        <v/>
      </c>
      <c r="K19" s="65">
        <f>SUM($E19:$J19)</f>
        <v/>
      </c>
      <c r="L19" s="64">
        <f>+$K19-$J19</f>
        <v/>
      </c>
      <c r="N19" s="12">
        <f>IFERROR(SUM($G19:$I19)/$L19,"N/A")</f>
        <v/>
      </c>
      <c r="O19" s="12">
        <f>IFERROR(SUM($H19:$I19)/$L19,"N/A")</f>
        <v/>
      </c>
      <c r="P19" s="12">
        <f>IFERROR($I19/$L19,"N/A")</f>
        <v/>
      </c>
      <c r="Q19" s="12">
        <f>IFERROR($J19/$K19,"N/A")</f>
        <v/>
      </c>
    </row>
    <row r="20" outlineLevel="1">
      <c r="B20" s="40" t="inlineStr">
        <is>
          <t>2021-2</t>
        </is>
      </c>
      <c r="C20" s="64">
        <f>COUNTIFS('Term Loan'!$K:$K,'Term Summary'!$B$7,'Term Loan'!$L:$L,'Term Summary'!$B20)</f>
        <v/>
      </c>
      <c r="D20" s="64">
        <f>COUNTIFS('Term Asset'!$E:$E,'Term Summary'!$B$7,'Term Asset'!$F:$F,'Term Summary'!$B20)</f>
        <v/>
      </c>
      <c r="E20" s="64">
        <f>SUMIFS('Term Loan'!$P:$P,'Term Loan'!$K:$K,'Term Summary'!$B$7,'Term Loan'!$L:$L,'Term Summary'!$B20,'Term Loan'!$V:$V,'Term Summary'!E$5)</f>
        <v/>
      </c>
      <c r="F20" s="64">
        <f>SUMIFS('Term Loan'!$P:$P,'Term Loan'!$K:$K,'Term Summary'!$B$7,'Term Loan'!$L:$L,'Term Summary'!$B20,'Term Loan'!$V:$V,'Term Summary'!F$5)</f>
        <v/>
      </c>
      <c r="G20" s="64">
        <f>SUMIFS('Term Loan'!$P:$P,'Term Loan'!$K:$K,'Term Summary'!$B$7,'Term Loan'!$L:$L,'Term Summary'!$B20,'Term Loan'!$V:$V,'Term Summary'!G$5)</f>
        <v/>
      </c>
      <c r="H20" s="64">
        <f>SUMIFS('Term Loan'!$P:$P,'Term Loan'!$K:$K,'Term Summary'!$B$7,'Term Loan'!$L:$L,'Term Summary'!$B20,'Term Loan'!$V:$V,'Term Summary'!H$5)</f>
        <v/>
      </c>
      <c r="I20" s="64">
        <f>SUMIFS('Term Loan'!$P:$P,'Term Loan'!$K:$K,'Term Summary'!$B$7,'Term Loan'!$L:$L,'Term Summary'!$B20,'Term Loan'!$V:$V,'Term Summary'!I$5)</f>
        <v/>
      </c>
      <c r="J20" s="64">
        <f>SUMIFS('Term Loan'!$P:$P,'Term Loan'!$K:$K,'Term Summary'!$B$7,'Term Loan'!$L:$L,'Term Summary'!$B20,'Term Loan'!$V:$V,'Term Summary'!J$5)</f>
        <v/>
      </c>
      <c r="K20" s="65">
        <f>SUM($E20:$J20)</f>
        <v/>
      </c>
      <c r="L20" s="64">
        <f>+$K20-$J20</f>
        <v/>
      </c>
      <c r="N20" s="12">
        <f>IFERROR(SUM($G20:$I20)/$L20,"N/A")</f>
        <v/>
      </c>
      <c r="O20" s="12">
        <f>IFERROR(SUM($H20:$I20)/$L20,"N/A")</f>
        <v/>
      </c>
      <c r="P20" s="12">
        <f>IFERROR($I20/$L20,"N/A")</f>
        <v/>
      </c>
      <c r="Q20" s="12">
        <f>IFERROR($J20/$K20,"N/A")</f>
        <v/>
      </c>
    </row>
    <row r="21" outlineLevel="1">
      <c r="B21" s="40" t="inlineStr">
        <is>
          <t>2021-3</t>
        </is>
      </c>
      <c r="C21" s="64">
        <f>COUNTIFS('Term Loan'!$K:$K,'Term Summary'!$B$7,'Term Loan'!$L:$L,'Term Summary'!$B21)</f>
        <v/>
      </c>
      <c r="D21" s="64">
        <f>COUNTIFS('Term Asset'!$E:$E,'Term Summary'!$B$7,'Term Asset'!$F:$F,'Term Summary'!$B21)</f>
        <v/>
      </c>
      <c r="E21" s="64">
        <f>SUMIFS('Term Loan'!$P:$P,'Term Loan'!$K:$K,'Term Summary'!$B$7,'Term Loan'!$L:$L,'Term Summary'!$B21,'Term Loan'!$V:$V,'Term Summary'!E$5)</f>
        <v/>
      </c>
      <c r="F21" s="64">
        <f>SUMIFS('Term Loan'!$P:$P,'Term Loan'!$K:$K,'Term Summary'!$B$7,'Term Loan'!$L:$L,'Term Summary'!$B21,'Term Loan'!$V:$V,'Term Summary'!F$5)</f>
        <v/>
      </c>
      <c r="G21" s="64">
        <f>SUMIFS('Term Loan'!$P:$P,'Term Loan'!$K:$K,'Term Summary'!$B$7,'Term Loan'!$L:$L,'Term Summary'!$B21,'Term Loan'!$V:$V,'Term Summary'!G$5)</f>
        <v/>
      </c>
      <c r="H21" s="64">
        <f>SUMIFS('Term Loan'!$P:$P,'Term Loan'!$K:$K,'Term Summary'!$B$7,'Term Loan'!$L:$L,'Term Summary'!$B21,'Term Loan'!$V:$V,'Term Summary'!H$5)</f>
        <v/>
      </c>
      <c r="I21" s="64">
        <f>SUMIFS('Term Loan'!$P:$P,'Term Loan'!$K:$K,'Term Summary'!$B$7,'Term Loan'!$L:$L,'Term Summary'!$B21,'Term Loan'!$V:$V,'Term Summary'!I$5)</f>
        <v/>
      </c>
      <c r="J21" s="64">
        <f>SUMIFS('Term Loan'!$P:$P,'Term Loan'!$K:$K,'Term Summary'!$B$7,'Term Loan'!$L:$L,'Term Summary'!$B21,'Term Loan'!$V:$V,'Term Summary'!J$5)</f>
        <v/>
      </c>
      <c r="K21" s="65">
        <f>SUM($E21:$J21)</f>
        <v/>
      </c>
      <c r="L21" s="64">
        <f>+$K21-$J21</f>
        <v/>
      </c>
      <c r="N21" s="12">
        <f>IFERROR(SUM($G21:$I21)/$L21,"N/A")</f>
        <v/>
      </c>
      <c r="O21" s="12">
        <f>IFERROR(SUM($H21:$I21)/$L21,"N/A")</f>
        <v/>
      </c>
      <c r="P21" s="12">
        <f>IFERROR($I21/$L21,"N/A")</f>
        <v/>
      </c>
      <c r="Q21" s="12">
        <f>IFERROR($J21/$K21,"N/A")</f>
        <v/>
      </c>
    </row>
    <row r="22" outlineLevel="1">
      <c r="B22" s="40" t="inlineStr">
        <is>
          <t>2022-1</t>
        </is>
      </c>
      <c r="C22" s="64">
        <f>COUNTIFS('Term Loan'!$K:$K,'Term Summary'!$B$7,'Term Loan'!$L:$L,'Term Summary'!$B22)</f>
        <v/>
      </c>
      <c r="D22" s="64">
        <f>COUNTIFS('Term Asset'!$E:$E,'Term Summary'!$B$7,'Term Asset'!$F:$F,'Term Summary'!$B22)</f>
        <v/>
      </c>
      <c r="E22" s="64">
        <f>SUMIFS('Term Loan'!$P:$P,'Term Loan'!$K:$K,'Term Summary'!$B$7,'Term Loan'!$L:$L,'Term Summary'!$B22,'Term Loan'!$V:$V,'Term Summary'!E$5)</f>
        <v/>
      </c>
      <c r="F22" s="64">
        <f>SUMIFS('Term Loan'!$P:$P,'Term Loan'!$K:$K,'Term Summary'!$B$7,'Term Loan'!$L:$L,'Term Summary'!$B22,'Term Loan'!$V:$V,'Term Summary'!F$5)</f>
        <v/>
      </c>
      <c r="G22" s="64">
        <f>SUMIFS('Term Loan'!$P:$P,'Term Loan'!$K:$K,'Term Summary'!$B$7,'Term Loan'!$L:$L,'Term Summary'!$B22,'Term Loan'!$V:$V,'Term Summary'!G$5)</f>
        <v/>
      </c>
      <c r="H22" s="64">
        <f>SUMIFS('Term Loan'!$P:$P,'Term Loan'!$K:$K,'Term Summary'!$B$7,'Term Loan'!$L:$L,'Term Summary'!$B22,'Term Loan'!$V:$V,'Term Summary'!H$5)</f>
        <v/>
      </c>
      <c r="I22" s="64">
        <f>SUMIFS('Term Loan'!$P:$P,'Term Loan'!$K:$K,'Term Summary'!$B$7,'Term Loan'!$L:$L,'Term Summary'!$B22,'Term Loan'!$V:$V,'Term Summary'!I$5)</f>
        <v/>
      </c>
      <c r="J22" s="64">
        <f>SUMIFS('Term Loan'!$P:$P,'Term Loan'!$K:$K,'Term Summary'!$B$7,'Term Loan'!$L:$L,'Term Summary'!$B22,'Term Loan'!$V:$V,'Term Summary'!J$5)</f>
        <v/>
      </c>
      <c r="K22" s="65">
        <f>SUM($E22:$J22)</f>
        <v/>
      </c>
      <c r="L22" s="64">
        <f>+$K22-$J22</f>
        <v/>
      </c>
      <c r="N22" s="12">
        <f>IFERROR(SUM($G22:$I22)/$L22,"N/A")</f>
        <v/>
      </c>
      <c r="O22" s="12">
        <f>IFERROR(SUM($H22:$I22)/$L22,"N/A")</f>
        <v/>
      </c>
      <c r="P22" s="12">
        <f>IFERROR($I22/$L22,"N/A")</f>
        <v/>
      </c>
      <c r="Q22" s="12">
        <f>IFERROR($J22/$K22,"N/A")</f>
        <v/>
      </c>
    </row>
    <row r="23" outlineLevel="1">
      <c r="B23" s="40" t="inlineStr">
        <is>
          <t>2022-P2</t>
        </is>
      </c>
      <c r="C23" s="64">
        <f>COUNTIFS('Term Loan'!$K:$K,'Term Summary'!$B$7,'Term Loan'!$L:$L,'Term Summary'!$B23)</f>
        <v/>
      </c>
      <c r="D23" s="64">
        <f>COUNTIFS('Term Asset'!$E:$E,'Term Summary'!$B$7,'Term Asset'!$F:$F,'Term Summary'!$B23)</f>
        <v/>
      </c>
      <c r="E23" s="64">
        <f>SUMIFS('Term Loan'!$P:$P,'Term Loan'!$K:$K,'Term Summary'!$B$7,'Term Loan'!$L:$L,'Term Summary'!$B23,'Term Loan'!$V:$V,'Term Summary'!E$5)</f>
        <v/>
      </c>
      <c r="F23" s="64">
        <f>SUMIFS('Term Loan'!$P:$P,'Term Loan'!$K:$K,'Term Summary'!$B$7,'Term Loan'!$L:$L,'Term Summary'!$B23,'Term Loan'!$V:$V,'Term Summary'!F$5)</f>
        <v/>
      </c>
      <c r="G23" s="64">
        <f>SUMIFS('Term Loan'!$P:$P,'Term Loan'!$K:$K,'Term Summary'!$B$7,'Term Loan'!$L:$L,'Term Summary'!$B23,'Term Loan'!$V:$V,'Term Summary'!G$5)</f>
        <v/>
      </c>
      <c r="H23" s="64">
        <f>SUMIFS('Term Loan'!$P:$P,'Term Loan'!$K:$K,'Term Summary'!$B$7,'Term Loan'!$L:$L,'Term Summary'!$B23,'Term Loan'!$V:$V,'Term Summary'!H$5)</f>
        <v/>
      </c>
      <c r="I23" s="64">
        <f>SUMIFS('Term Loan'!$P:$P,'Term Loan'!$K:$K,'Term Summary'!$B$7,'Term Loan'!$L:$L,'Term Summary'!$B23,'Term Loan'!$V:$V,'Term Summary'!I$5)</f>
        <v/>
      </c>
      <c r="J23" s="64">
        <f>SUMIFS('Term Loan'!$P:$P,'Term Loan'!$K:$K,'Term Summary'!$B$7,'Term Loan'!$L:$L,'Term Summary'!$B23,'Term Loan'!$V:$V,'Term Summary'!J$5)</f>
        <v/>
      </c>
      <c r="K23" s="65">
        <f>SUM($E23:$J23)</f>
        <v/>
      </c>
      <c r="L23" s="64">
        <f>+$K23-$J23</f>
        <v/>
      </c>
      <c r="N23" s="12">
        <f>IFERROR(SUM($G23:$I23)/$L23,"N/A")</f>
        <v/>
      </c>
      <c r="O23" s="12">
        <f>IFERROR(SUM($H23:$I23)/$L23,"N/A")</f>
        <v/>
      </c>
      <c r="P23" s="12">
        <f>IFERROR($I23/$L23,"N/A")</f>
        <v/>
      </c>
      <c r="Q23" s="12">
        <f>IFERROR($J23/$K23,"N/A")</f>
        <v/>
      </c>
    </row>
    <row r="24" outlineLevel="1">
      <c r="B24" s="40" t="inlineStr">
        <is>
          <t>2023-P1</t>
        </is>
      </c>
      <c r="C24" s="64">
        <f>COUNTIFS('Term Loan'!$K:$K,'Term Summary'!$B$7,'Term Loan'!$L:$L,'Term Summary'!$B24)</f>
        <v/>
      </c>
      <c r="D24" s="64">
        <f>COUNTIFS('Term Asset'!$E:$E,'Term Summary'!$B$7,'Term Asset'!$F:$F,'Term Summary'!$B24)</f>
        <v/>
      </c>
      <c r="E24" s="64">
        <f>SUMIFS('Term Loan'!$P:$P,'Term Loan'!$K:$K,'Term Summary'!$B$7,'Term Loan'!$L:$L,'Term Summary'!$B24,'Term Loan'!$V:$V,'Term Summary'!E$5)</f>
        <v/>
      </c>
      <c r="F24" s="64">
        <f>SUMIFS('Term Loan'!$P:$P,'Term Loan'!$K:$K,'Term Summary'!$B$7,'Term Loan'!$L:$L,'Term Summary'!$B24,'Term Loan'!$V:$V,'Term Summary'!F$5)</f>
        <v/>
      </c>
      <c r="G24" s="64">
        <f>SUMIFS('Term Loan'!$P:$P,'Term Loan'!$K:$K,'Term Summary'!$B$7,'Term Loan'!$L:$L,'Term Summary'!$B24,'Term Loan'!$V:$V,'Term Summary'!G$5)</f>
        <v/>
      </c>
      <c r="H24" s="64">
        <f>SUMIFS('Term Loan'!$P:$P,'Term Loan'!$K:$K,'Term Summary'!$B$7,'Term Loan'!$L:$L,'Term Summary'!$B24,'Term Loan'!$V:$V,'Term Summary'!H$5)</f>
        <v/>
      </c>
      <c r="I24" s="64">
        <f>SUMIFS('Term Loan'!$P:$P,'Term Loan'!$K:$K,'Term Summary'!$B$7,'Term Loan'!$L:$L,'Term Summary'!$B24,'Term Loan'!$V:$V,'Term Summary'!I$5)</f>
        <v/>
      </c>
      <c r="J24" s="64">
        <f>SUMIFS('Term Loan'!$P:$P,'Term Loan'!$K:$K,'Term Summary'!$B$7,'Term Loan'!$L:$L,'Term Summary'!$B24,'Term Loan'!$V:$V,'Term Summary'!J$5)</f>
        <v/>
      </c>
      <c r="K24" s="65">
        <f>SUM($E24:$J24)</f>
        <v/>
      </c>
      <c r="L24" s="64">
        <f>+$K24-$J24</f>
        <v/>
      </c>
      <c r="N24" s="12">
        <f>IFERROR(SUM($G24:$I24)/$L24,"N/A")</f>
        <v/>
      </c>
      <c r="O24" s="12">
        <f>IFERROR(SUM($H24:$I24)/$L24,"N/A")</f>
        <v/>
      </c>
      <c r="P24" s="12">
        <f>IFERROR($I24/$L24,"N/A")</f>
        <v/>
      </c>
      <c r="Q24" s="12">
        <f>IFERROR($J24/$K24,"N/A")</f>
        <v/>
      </c>
    </row>
    <row r="25">
      <c r="B25" s="39" t="inlineStr">
        <is>
          <t>Mortgage Banking</t>
        </is>
      </c>
      <c r="C25" s="61">
        <f>COUNTIFS('Term Loan'!$K:$K,'Term Summary'!$B25)</f>
        <v/>
      </c>
      <c r="D25" s="61">
        <f>COUNTIFS('Term Asset'!$E:$E,'Term Summary'!$B25)</f>
        <v/>
      </c>
      <c r="E25" s="61">
        <f>SUMIFS('Term Loan'!$P:$P,'Term Loan'!$K:$K,'Term Summary'!$B25,'Term Loan'!$V:$V,'Term Summary'!E$5)</f>
        <v/>
      </c>
      <c r="F25" s="61">
        <f>SUMIFS('Term Loan'!$P:$P,'Term Loan'!$K:$K,'Term Summary'!$B25,'Term Loan'!$V:$V,'Term Summary'!F$5)</f>
        <v/>
      </c>
      <c r="G25" s="61">
        <f>SUMIFS('Term Loan'!$P:$P,'Term Loan'!$K:$K,'Term Summary'!$B25,'Term Loan'!$V:$V,'Term Summary'!G$5)</f>
        <v/>
      </c>
      <c r="H25" s="61">
        <f>SUMIFS('Term Loan'!$P:$P,'Term Loan'!$K:$K,'Term Summary'!$B25,'Term Loan'!$V:$V,'Term Summary'!H$5)</f>
        <v/>
      </c>
      <c r="I25" s="61">
        <f>SUMIFS('Term Loan'!$P:$P,'Term Loan'!$K:$K,'Term Summary'!$B25,'Term Loan'!$V:$V,'Term Summary'!I$5)</f>
        <v/>
      </c>
      <c r="J25" s="61">
        <f>SUMIFS('Term Loan'!$P:$P,'Term Loan'!$K:$K,'Term Summary'!$B25,'Term Loan'!$V:$V,'Term Summary'!J$5)</f>
        <v/>
      </c>
      <c r="K25" s="63">
        <f>SUM($E25:$J25)</f>
        <v/>
      </c>
      <c r="L25" s="61">
        <f>+$K25-$J25</f>
        <v/>
      </c>
      <c r="N25" s="12">
        <f>IFERROR(SUM($G25:$I25)/$L25,"N/A")</f>
        <v/>
      </c>
      <c r="O25" s="12">
        <f>IFERROR(SUM($H25:$I25)/$L25,"N/A")</f>
        <v/>
      </c>
      <c r="P25" s="12">
        <f>IFERROR($I25/$L25,"N/A")</f>
        <v/>
      </c>
      <c r="Q25" s="12">
        <f>IFERROR($J25/$K25,"N/A")</f>
        <v/>
      </c>
    </row>
    <row r="26">
      <c r="B26" s="39" t="inlineStr">
        <is>
          <t>DSCR</t>
        </is>
      </c>
      <c r="C26" s="61">
        <f>COUNTIFS('Term Loan'!$K:$K,'Term Summary'!$B26)</f>
        <v/>
      </c>
      <c r="D26" s="61">
        <f>COUNTIFS('Term Asset'!$E:$E,'Term Summary'!$B26)</f>
        <v/>
      </c>
      <c r="E26" s="61">
        <f>SUMIFS('Term Loan'!$P:$P,'Term Loan'!$K:$K,'Term Summary'!$B26,'Term Loan'!$V:$V,'Term Summary'!E$5)</f>
        <v/>
      </c>
      <c r="F26" s="61">
        <f>SUMIFS('Term Loan'!$P:$P,'Term Loan'!$K:$K,'Term Summary'!$B26,'Term Loan'!$V:$V,'Term Summary'!F$5)</f>
        <v/>
      </c>
      <c r="G26" s="61">
        <f>SUMIFS('Term Loan'!$P:$P,'Term Loan'!$K:$K,'Term Summary'!$B26,'Term Loan'!$V:$V,'Term Summary'!G$5)</f>
        <v/>
      </c>
      <c r="H26" s="61">
        <f>SUMIFS('Term Loan'!$P:$P,'Term Loan'!$K:$K,'Term Summary'!$B26,'Term Loan'!$V:$V,'Term Summary'!H$5)</f>
        <v/>
      </c>
      <c r="I26" s="61">
        <f>SUMIFS('Term Loan'!$P:$P,'Term Loan'!$K:$K,'Term Summary'!$B26,'Term Loan'!$V:$V,'Term Summary'!I$5)</f>
        <v/>
      </c>
      <c r="J26" s="61">
        <f>SUMIFS('Term Loan'!$P:$P,'Term Loan'!$K:$K,'Term Summary'!$B26,'Term Loan'!$V:$V,'Term Summary'!J$5)</f>
        <v/>
      </c>
      <c r="K26" s="63">
        <f>SUM($E26:$J26)</f>
        <v/>
      </c>
      <c r="L26" s="61">
        <f>+$K26-$J26</f>
        <v/>
      </c>
      <c r="N26" s="12">
        <f>IFERROR(SUM($G26:$I26)/$L26,"N/A")</f>
        <v/>
      </c>
      <c r="O26" s="12">
        <f>IFERROR(SUM($H26:$I26)/$L26,"N/A")</f>
        <v/>
      </c>
      <c r="P26" s="12">
        <f>IFERROR($I26/$L26,"N/A")</f>
        <v/>
      </c>
      <c r="Q26" s="12">
        <f>IFERROR($J26/$K26,"N/A")</f>
        <v/>
      </c>
    </row>
    <row r="27">
      <c r="B27" s="39" t="inlineStr">
        <is>
          <t>CPP JV</t>
        </is>
      </c>
      <c r="C27" s="61">
        <f>COUNTIFS('Term Loan'!$K:$K,'Term Summary'!$B27)</f>
        <v/>
      </c>
      <c r="D27" s="61">
        <f>COUNTIFS('Term Asset'!$E:$E,'Term Summary'!$B27)</f>
        <v/>
      </c>
      <c r="E27" s="61">
        <f>SUMIFS('Term Loan'!$P:$P,'Term Loan'!$K:$K,'Term Summary'!$B27,'Term Loan'!$V:$V,'Term Summary'!E$5)</f>
        <v/>
      </c>
      <c r="F27" s="61">
        <f>SUMIFS('Term Loan'!$P:$P,'Term Loan'!$K:$K,'Term Summary'!$B27,'Term Loan'!$V:$V,'Term Summary'!F$5)</f>
        <v/>
      </c>
      <c r="G27" s="61">
        <f>SUMIFS('Term Loan'!$P:$P,'Term Loan'!$K:$K,'Term Summary'!$B27,'Term Loan'!$V:$V,'Term Summary'!G$5)</f>
        <v/>
      </c>
      <c r="H27" s="61">
        <f>SUMIFS('Term Loan'!$P:$P,'Term Loan'!$K:$K,'Term Summary'!$B27,'Term Loan'!$V:$V,'Term Summary'!H$5)</f>
        <v/>
      </c>
      <c r="I27" s="61">
        <f>SUMIFS('Term Loan'!$P:$P,'Term Loan'!$K:$K,'Term Summary'!$B27,'Term Loan'!$V:$V,'Term Summary'!I$5)</f>
        <v/>
      </c>
      <c r="J27" s="61">
        <f>SUMIFS('Term Loan'!$P:$P,'Term Loan'!$K:$K,'Term Summary'!$B27,'Term Loan'!$V:$V,'Term Summary'!J$5)</f>
        <v/>
      </c>
      <c r="K27" s="63">
        <f>SUM($E27:$J27)</f>
        <v/>
      </c>
      <c r="L27" s="61">
        <f>+$K27-$J27</f>
        <v/>
      </c>
      <c r="N27" s="12">
        <f>IFERROR(SUM($G27:$I27)/$L27,"N/A")</f>
        <v/>
      </c>
      <c r="O27" s="12">
        <f>IFERROR(SUM($H27:$I27)/$L27,"N/A")</f>
        <v/>
      </c>
      <c r="P27" s="12">
        <f>IFERROR($I27/$L27,"N/A")</f>
        <v/>
      </c>
      <c r="Q27" s="12">
        <f>IFERROR($J27/$K27,"N/A")</f>
        <v/>
      </c>
    </row>
    <row r="28">
      <c r="B28" s="39" t="inlineStr">
        <is>
          <t>Apollo</t>
        </is>
      </c>
      <c r="C28" s="61">
        <f>COUNTIFS('Term Loan'!$K:$K,'Term Summary'!$B28)</f>
        <v/>
      </c>
      <c r="D28" s="61">
        <f>COUNTIFS('Term Asset'!$E:$E,'Term Summary'!$B28)</f>
        <v/>
      </c>
      <c r="E28" s="61">
        <f>SUMIFS('Term Loan'!$P:$P,'Term Loan'!$K:$K,'Term Summary'!$B28,'Term Loan'!$V:$V,'Term Summary'!E$5)</f>
        <v/>
      </c>
      <c r="F28" s="61">
        <f>SUMIFS('Term Loan'!$P:$P,'Term Loan'!$K:$K,'Term Summary'!$B28,'Term Loan'!$V:$V,'Term Summary'!F$5)</f>
        <v/>
      </c>
      <c r="G28" s="61">
        <f>SUMIFS('Term Loan'!$P:$P,'Term Loan'!$K:$K,'Term Summary'!$B28,'Term Loan'!$V:$V,'Term Summary'!G$5)</f>
        <v/>
      </c>
      <c r="H28" s="61">
        <f>SUMIFS('Term Loan'!$P:$P,'Term Loan'!$K:$K,'Term Summary'!$B28,'Term Loan'!$V:$V,'Term Summary'!H$5)</f>
        <v/>
      </c>
      <c r="I28" s="61">
        <f>SUMIFS('Term Loan'!$P:$P,'Term Loan'!$K:$K,'Term Summary'!$B28,'Term Loan'!$V:$V,'Term Summary'!I$5)</f>
        <v/>
      </c>
      <c r="J28" s="61">
        <f>SUMIFS('Term Loan'!$P:$P,'Term Loan'!$K:$K,'Term Summary'!$B28,'Term Loan'!$V:$V,'Term Summary'!J$5)</f>
        <v/>
      </c>
      <c r="K28" s="63">
        <f>SUM($E28:$J28)</f>
        <v/>
      </c>
      <c r="L28" s="61">
        <f>+$K28-$J28</f>
        <v/>
      </c>
      <c r="N28" s="12">
        <f>IFERROR(SUM($G28:$I28)/$L28,"N/A")</f>
        <v/>
      </c>
      <c r="O28" s="12">
        <f>IFERROR(SUM($H28:$I28)/$L28,"N/A")</f>
        <v/>
      </c>
      <c r="P28" s="12">
        <f>IFERROR($I28/$L28,"N/A")</f>
        <v/>
      </c>
      <c r="Q28" s="12">
        <f>IFERROR($J28/$K28,"N/A")</f>
        <v/>
      </c>
    </row>
    <row r="29">
      <c r="B29" s="39" t="inlineStr">
        <is>
          <t>Blackstone</t>
        </is>
      </c>
      <c r="C29" s="61">
        <f>COUNTIFS('Term Loan'!$K:$K,'Term Summary'!$B29)</f>
        <v/>
      </c>
      <c r="D29" s="61">
        <f>COUNTIFS('Term Asset'!$E:$E,'Term Summary'!$B29)</f>
        <v/>
      </c>
      <c r="E29" s="61">
        <f>SUMIFS('Term Loan'!$P:$P,'Term Loan'!$K:$K,'Term Summary'!$B29,'Term Loan'!$V:$V,'Term Summary'!E$5)</f>
        <v/>
      </c>
      <c r="F29" s="61">
        <f>SUMIFS('Term Loan'!$P:$P,'Term Loan'!$K:$K,'Term Summary'!$B29,'Term Loan'!$V:$V,'Term Summary'!F$5)</f>
        <v/>
      </c>
      <c r="G29" s="61">
        <f>SUMIFS('Term Loan'!$P:$P,'Term Loan'!$K:$K,'Term Summary'!$B29,'Term Loan'!$V:$V,'Term Summary'!G$5)</f>
        <v/>
      </c>
      <c r="H29" s="61">
        <f>SUMIFS('Term Loan'!$P:$P,'Term Loan'!$K:$K,'Term Summary'!$B29,'Term Loan'!$V:$V,'Term Summary'!H$5)</f>
        <v/>
      </c>
      <c r="I29" s="61">
        <f>SUMIFS('Term Loan'!$P:$P,'Term Loan'!$K:$K,'Term Summary'!$B29,'Term Loan'!$V:$V,'Term Summary'!I$5)</f>
        <v/>
      </c>
      <c r="J29" s="61">
        <f>SUMIFS('Term Loan'!$P:$P,'Term Loan'!$K:$K,'Term Summary'!$B29,'Term Loan'!$V:$V,'Term Summary'!J$5)</f>
        <v/>
      </c>
      <c r="K29" s="63">
        <f>SUM($E29:$J29)</f>
        <v/>
      </c>
      <c r="L29" s="61">
        <f>+$K29-$J29</f>
        <v/>
      </c>
      <c r="N29" s="12">
        <f>IFERROR(SUM($G29:$I29)/$L29,"N/A")</f>
        <v/>
      </c>
      <c r="O29" s="12">
        <f>IFERROR(SUM($H29:$I29)/$L29,"N/A")</f>
        <v/>
      </c>
      <c r="P29" s="12">
        <f>IFERROR($I29/$L29,"N/A")</f>
        <v/>
      </c>
      <c r="Q29" s="12">
        <f>IFERROR($J29/$K29,"N/A")</f>
        <v/>
      </c>
    </row>
    <row r="30">
      <c r="B30" s="46" t="inlineStr">
        <is>
          <t>Total Term</t>
        </is>
      </c>
      <c r="C30" s="66">
        <f>SUM(C$6:C$29)-SUM(C$8:C$24)</f>
        <v/>
      </c>
      <c r="D30" s="66">
        <f>SUM(D$6:D$29)-SUM(D$8:D$24)</f>
        <v/>
      </c>
      <c r="E30" s="66">
        <f>SUM(E$6:E$29)-SUM(E$8:E$24)</f>
        <v/>
      </c>
      <c r="F30" s="66">
        <f>SUM(F$6:F$29)-SUM(F$8:F$24)</f>
        <v/>
      </c>
      <c r="G30" s="66">
        <f>SUM(G$6:G$29)-SUM(G$8:G$24)</f>
        <v/>
      </c>
      <c r="H30" s="66">
        <f>SUM(H$6:H$29)-SUM(H$8:H$24)</f>
        <v/>
      </c>
      <c r="I30" s="66">
        <f>SUM(I$6:I$29)-SUM(I$8:I$24)</f>
        <v/>
      </c>
      <c r="J30" s="66">
        <f>SUM(J$6:J$29)-SUM(J$8:J$24)</f>
        <v/>
      </c>
      <c r="K30" s="67">
        <f>SUM(K$6:K$29)-SUM(K$8:K$24)</f>
        <v/>
      </c>
      <c r="L30" s="68">
        <f>SUM(L$6:L$29)-SUM(L$8:L$24)</f>
        <v/>
      </c>
      <c r="N30" s="13">
        <f>IFERROR(SUM($G30:$I30)/$L30,"N/A")</f>
        <v/>
      </c>
      <c r="O30" s="14">
        <f>IFERROR(SUM($H30:$I30)/$L30,"N/A")</f>
        <v/>
      </c>
      <c r="P30" s="14">
        <f>IFERROR($I30/$L30,"N/A")</f>
        <v/>
      </c>
      <c r="Q30" s="15">
        <f>IFERROR($J30/$K30,"N/A")</f>
        <v/>
      </c>
    </row>
    <row r="31">
      <c r="B31" s="53" t="inlineStr">
        <is>
          <t>Total Term (Ex. Sold)</t>
        </is>
      </c>
      <c r="C31" s="71">
        <f>+C$30-SUM(C$28:C$29)</f>
        <v/>
      </c>
      <c r="D31" s="71">
        <f>+D$30-SUM(D$28:D$29)</f>
        <v/>
      </c>
      <c r="E31" s="71">
        <f>+E$30-SUM(E$28:E$29)</f>
        <v/>
      </c>
      <c r="F31" s="71">
        <f>+F$30-SUM(F$28:F$29)</f>
        <v/>
      </c>
      <c r="G31" s="71">
        <f>+G$30-SUM(G$28:G$29)</f>
        <v/>
      </c>
      <c r="H31" s="71">
        <f>+H$30-SUM(H$28:H$29)</f>
        <v/>
      </c>
      <c r="I31" s="71">
        <f>+I$30-SUM(I$28:I$29)</f>
        <v/>
      </c>
      <c r="J31" s="71">
        <f>+J$30-SUM(J$28:J$29)</f>
        <v/>
      </c>
      <c r="K31" s="72">
        <f>+K$30-SUM(K$28:K$29)</f>
        <v/>
      </c>
      <c r="L31" s="73">
        <f>+L$30-SUM(L$28:L$29)</f>
        <v/>
      </c>
      <c r="N31" s="57">
        <f>IFERROR(SUM($G31:$I31)/$L31,"N/A")</f>
        <v/>
      </c>
      <c r="O31" s="17">
        <f>IFERROR(SUM($H31:$I31)/$L31,"N/A")</f>
        <v/>
      </c>
      <c r="P31" s="17">
        <f>IFERROR($I31/$L31,"N/A")</f>
        <v/>
      </c>
      <c r="Q31" s="58">
        <f>IFERROR($J31/$K31,"N/A")</f>
        <v/>
      </c>
    </row>
    <row r="33">
      <c r="B33" s="52" t="inlineStr">
        <is>
          <t>Legacy Term</t>
        </is>
      </c>
      <c r="C33" s="69">
        <f>+C$6</f>
        <v/>
      </c>
      <c r="D33" s="69">
        <f>+D$6</f>
        <v/>
      </c>
      <c r="E33" s="69">
        <f>+E$6</f>
        <v/>
      </c>
      <c r="F33" s="69">
        <f>+F$6</f>
        <v/>
      </c>
      <c r="G33" s="69">
        <f>+G$6</f>
        <v/>
      </c>
      <c r="H33" s="69">
        <f>+H$6</f>
        <v/>
      </c>
      <c r="I33" s="69">
        <f>+I$6</f>
        <v/>
      </c>
      <c r="J33" s="69">
        <f>+J$6</f>
        <v/>
      </c>
      <c r="K33" s="70">
        <f>+K$6</f>
        <v/>
      </c>
      <c r="L33" s="69">
        <f>+L$6</f>
        <v/>
      </c>
      <c r="N33" s="16">
        <f>IFERROR(SUM($G33:$I33)/$L33,"N/A")</f>
        <v/>
      </c>
      <c r="O33" s="16">
        <f>IFERROR(SUM($H33:$I33)/$L33,"N/A")</f>
        <v/>
      </c>
      <c r="P33" s="16">
        <f>IFERROR($I33/$L33,"N/A")</f>
        <v/>
      </c>
      <c r="Q33" s="16">
        <f>IFERROR($J33/$K33,"N/A")</f>
        <v/>
      </c>
    </row>
    <row r="34">
      <c r="B34" s="39" t="inlineStr">
        <is>
          <t>Non-Legacy Term</t>
        </is>
      </c>
      <c r="C34" s="61">
        <f>+C$25+C$26</f>
        <v/>
      </c>
      <c r="D34" s="61">
        <f>+D$25+D$26</f>
        <v/>
      </c>
      <c r="E34" s="61">
        <f>+E$25+E$26</f>
        <v/>
      </c>
      <c r="F34" s="61">
        <f>+F$25+F$26</f>
        <v/>
      </c>
      <c r="G34" s="61">
        <f>+G$25+G$26</f>
        <v/>
      </c>
      <c r="H34" s="61">
        <f>+H$25+H$26</f>
        <v/>
      </c>
      <c r="I34" s="61">
        <f>+I$25+I$26</f>
        <v/>
      </c>
      <c r="J34" s="61">
        <f>+J$25+J$26</f>
        <v/>
      </c>
      <c r="K34" s="63">
        <f>+K$25+K$26</f>
        <v/>
      </c>
      <c r="L34" s="61">
        <f>+L$25+L$26</f>
        <v/>
      </c>
      <c r="N34" s="12">
        <f>IFERROR(SUM($G34:$I34)/$L34,"N/A")</f>
        <v/>
      </c>
      <c r="O34" s="12">
        <f>IFERROR(SUM($H34:$I34)/$L34,"N/A")</f>
        <v/>
      </c>
      <c r="P34" s="12">
        <f>IFERROR($I34/$L34,"N/A")</f>
        <v/>
      </c>
      <c r="Q34" s="12">
        <f>IFERROR($J34/$K34,"N/A")</f>
        <v/>
      </c>
    </row>
    <row r="35">
      <c r="B35" s="46" t="inlineStr">
        <is>
          <t>Balance Sheet Term</t>
        </is>
      </c>
      <c r="C35" s="66">
        <f>SUM(C$33:C$34)</f>
        <v/>
      </c>
      <c r="D35" s="66">
        <f>SUM(D$33:D$34)</f>
        <v/>
      </c>
      <c r="E35" s="66">
        <f>SUM(E$33:E$34)</f>
        <v/>
      </c>
      <c r="F35" s="66">
        <f>SUM(F$33:F$34)</f>
        <v/>
      </c>
      <c r="G35" s="66">
        <f>SUM(G$33:G$34)</f>
        <v/>
      </c>
      <c r="H35" s="66">
        <f>SUM(H$33:H$34)</f>
        <v/>
      </c>
      <c r="I35" s="66">
        <f>SUM(I$33:I$34)</f>
        <v/>
      </c>
      <c r="J35" s="66">
        <f>SUM(J$33:J$34)</f>
        <v/>
      </c>
      <c r="K35" s="67">
        <f>SUM(K$33:K$34)</f>
        <v/>
      </c>
      <c r="L35" s="68">
        <f>SUM(L$33:L$34)</f>
        <v/>
      </c>
      <c r="N35" s="13">
        <f>IFERROR(SUM($G35:$I35)/$L35,"N/A")</f>
        <v/>
      </c>
      <c r="O35" s="14">
        <f>IFERROR(SUM($H35:$I35)/$L35,"N/A")</f>
        <v/>
      </c>
      <c r="P35" s="14">
        <f>IFERROR($I35/$L35,"N/A")</f>
        <v/>
      </c>
      <c r="Q35" s="15">
        <f>IFERROR($J35/$K35,"N/A")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B1:BH5"/>
  <sheetViews>
    <sheetView showGridLines="1" zoomScale="85" zoomScaleNormal="85" workbookViewId="0">
      <pane ySplit="5" topLeftCell="A6" activePane="bottomLeft" state="frozen"/>
      <selection pane="bottomLeft" activeCell="A1" sqref="A1"/>
    </sheetView>
  </sheetViews>
  <sheetFormatPr baseColWidth="8" defaultRowHeight="14.5"/>
  <cols>
    <col width="4.26953125" customWidth="1" min="1" max="1"/>
    <col width="13.7265625" bestFit="1" customWidth="1" min="2" max="2"/>
    <col width="20.26953125" bestFit="1" customWidth="1" min="3" max="3"/>
    <col width="40.7265625" bestFit="1" customWidth="1" min="4" max="4"/>
    <col width="17.453125" bestFit="1" customWidth="1" min="5" max="5"/>
    <col width="15.453125" bestFit="1" customWidth="1" min="6" max="6"/>
    <col width="18.7265625" bestFit="1" customWidth="1" min="7" max="7"/>
    <col width="61.1796875" bestFit="1" customWidth="1" min="8" max="8"/>
    <col width="75.54296875" bestFit="1" customWidth="1" min="9" max="9"/>
    <col width="78" bestFit="1" customWidth="1" min="10" max="10"/>
    <col width="22.1796875" bestFit="1" customWidth="1" min="11" max="11"/>
    <col width="32.1796875" bestFit="1" customWidth="1" min="12" max="12"/>
    <col width="21.81640625" bestFit="1" customWidth="1" min="13" max="13"/>
    <col width="14.26953125" bestFit="1" customWidth="1" min="14" max="14"/>
    <col width="13.26953125" bestFit="1" customWidth="1" min="15" max="15"/>
    <col width="20.453125" bestFit="1" customWidth="1" min="16" max="16"/>
    <col width="21.81640625" bestFit="1" customWidth="1" min="17" max="17"/>
    <col width="25.453125" bestFit="1" customWidth="1" min="18" max="19"/>
    <col width="31" bestFit="1" customWidth="1" min="20" max="20"/>
    <col width="23.1796875" bestFit="1" customWidth="1" min="21" max="21"/>
    <col width="18.81640625" bestFit="1" customWidth="1" min="22" max="22"/>
    <col width="27.453125" bestFit="1" customWidth="1" min="23" max="23"/>
    <col width="22.54296875" bestFit="1" customWidth="1" min="24" max="24"/>
    <col width="26.1796875" bestFit="1" customWidth="1" min="25" max="25"/>
    <col width="19" customWidth="1" min="26" max="26"/>
    <col width="22.1796875" bestFit="1" customWidth="1" min="27" max="27"/>
    <col width="28" bestFit="1" customWidth="1" min="28" max="28"/>
    <col width="31" bestFit="1" customWidth="1" min="29" max="29"/>
    <col width="27.54296875" bestFit="1" customWidth="1" min="30" max="30"/>
    <col width="21" bestFit="1" customWidth="1" min="31" max="31"/>
    <col width="31.7265625" bestFit="1" customWidth="1" min="32" max="32"/>
    <col width="25" bestFit="1" customWidth="1" min="33" max="33"/>
    <col width="26.453125" bestFit="1" customWidth="1" min="34" max="34"/>
    <col width="29.26953125" bestFit="1" customWidth="1" min="35" max="35"/>
    <col width="22.453125" bestFit="1" customWidth="1" min="36" max="36"/>
    <col width="29.7265625" bestFit="1" customWidth="1" min="37" max="37"/>
    <col width="15.54296875" bestFit="1" customWidth="1" min="38" max="38"/>
    <col width="21.7265625" bestFit="1" customWidth="1" min="39" max="39"/>
    <col width="25.26953125" customWidth="1" min="40" max="40"/>
    <col width="21.453125" bestFit="1" customWidth="1" min="41" max="41"/>
    <col width="21.26953125" bestFit="1" customWidth="1" min="42" max="42"/>
    <col width="26.26953125" bestFit="1" customWidth="1" min="43" max="43"/>
    <col width="33.54296875" bestFit="1" customWidth="1" min="44" max="44"/>
    <col width="22" bestFit="1" customWidth="1" min="45" max="45"/>
    <col width="19.1796875" bestFit="1" customWidth="1" min="46" max="46"/>
    <col width="14.7265625" bestFit="1" customWidth="1" min="47" max="47"/>
    <col width="38.453125" bestFit="1" customWidth="1" min="48" max="48"/>
    <col width="73.453125" bestFit="1" customWidth="1" min="49" max="49"/>
    <col width="27.54296875" bestFit="1" customWidth="1" min="50" max="50"/>
    <col width="15.1796875" bestFit="1" customWidth="1" min="51" max="51"/>
    <col width="20.1796875" bestFit="1" customWidth="1" min="52" max="52"/>
    <col width="23.26953125" bestFit="1" customWidth="1" min="53" max="53"/>
    <col width="23.1796875" bestFit="1" customWidth="1" min="54" max="54"/>
    <col width="23.26953125" bestFit="1" customWidth="1" min="55" max="55"/>
    <col width="20.453125" bestFit="1" customWidth="1" min="56" max="56"/>
    <col width="23.26953125" bestFit="1" customWidth="1" min="57" max="57"/>
    <col width="22" bestFit="1" customWidth="1" min="58" max="58"/>
    <col width="22.1796875" bestFit="1" customWidth="1" min="59" max="59"/>
    <col width="75.7265625" customWidth="1" min="60" max="60"/>
  </cols>
  <sheetData>
    <row r="1">
      <c r="V1" s="10" t="inlineStr">
        <is>
          <t>CALC</t>
        </is>
      </c>
    </row>
    <row r="2" ht="15" customHeight="1">
      <c r="B2" s="60" t="inlineStr">
        <is>
          <t>Bridge Loan Level Data</t>
        </is>
      </c>
    </row>
    <row r="3" ht="15" customHeight="1"/>
    <row r="4" ht="15" customHeight="1">
      <c r="V4" s="37">
        <f>+'Bridge Asset'!$CP$4</f>
        <v/>
      </c>
      <c r="Z4" s="61">
        <f>SUBTOTAL(9,Z6:Z1060)</f>
        <v/>
      </c>
    </row>
    <row r="5" ht="45" customHeight="1">
      <c r="B5" s="28" t="inlineStr">
        <is>
          <t>Portfolio</t>
        </is>
      </c>
      <c r="C5" s="28" t="inlineStr">
        <is>
          <t>Loan Buyer</t>
        </is>
      </c>
      <c r="D5" s="28" t="inlineStr">
        <is>
          <t>Financing</t>
        </is>
      </c>
      <c r="E5" s="28" t="inlineStr">
        <is>
          <t>Deal Number</t>
        </is>
      </c>
      <c r="F5" s="28" t="inlineStr">
        <is>
          <t>Servicer ID</t>
        </is>
      </c>
      <c r="G5" s="28" t="inlineStr">
        <is>
          <t>Servicer</t>
        </is>
      </c>
      <c r="H5" s="28" t="inlineStr">
        <is>
          <t>Deal Name</t>
        </is>
      </c>
      <c r="I5" s="28" t="inlineStr">
        <is>
          <t>Borrower Name</t>
        </is>
      </c>
      <c r="J5" s="28" t="inlineStr">
        <is>
          <t xml:space="preserve">Account </t>
        </is>
      </c>
      <c r="K5" s="28" t="inlineStr">
        <is>
          <t>Do Not Lend (Y/N)</t>
        </is>
      </c>
      <c r="L5" s="28" t="inlineStr">
        <is>
          <t>Primary Contact</t>
        </is>
      </c>
      <c r="M5" s="28" t="inlineStr">
        <is>
          <t>Number of Assets</t>
        </is>
      </c>
      <c r="N5" s="28" t="inlineStr">
        <is>
          <t># of Units</t>
        </is>
      </c>
      <c r="O5" s="28" t="inlineStr">
        <is>
          <t>State(s)</t>
        </is>
      </c>
      <c r="P5" s="28" t="inlineStr">
        <is>
          <t>Origination Date</t>
        </is>
      </c>
      <c r="Q5" s="28" t="inlineStr">
        <is>
          <t>Last Funding Date</t>
        </is>
      </c>
      <c r="R5" s="28" t="inlineStr">
        <is>
          <t>Original Maturity Date</t>
        </is>
      </c>
      <c r="S5" s="28" t="inlineStr">
        <is>
          <t>Current Maturity Date</t>
        </is>
      </c>
      <c r="T5" s="28" t="inlineStr">
        <is>
          <t>Next Advance Maturity Date</t>
        </is>
      </c>
      <c r="U5" s="28" t="inlineStr">
        <is>
          <t>Next Payment Date</t>
        </is>
      </c>
      <c r="V5" s="28" t="inlineStr">
        <is>
          <t>Days Past Due</t>
        </is>
      </c>
      <c r="W5" s="28" t="inlineStr">
        <is>
          <t>Loan Level Delinquency</t>
        </is>
      </c>
      <c r="X5" s="28" t="inlineStr">
        <is>
          <t>Loan Commitment</t>
        </is>
      </c>
      <c r="Y5" s="28" t="inlineStr">
        <is>
          <t>Active Funded Amount</t>
        </is>
      </c>
      <c r="Z5" s="28">
        <f>+'Bridge Asset'!$AJ$5</f>
        <v/>
      </c>
      <c r="AA5" s="28" t="inlineStr">
        <is>
          <t>Suspense Balance</t>
        </is>
      </c>
      <c r="AB5" s="28" t="inlineStr">
        <is>
          <t>Remaining Commitment</t>
        </is>
      </c>
      <c r="AC5" s="28" t="inlineStr">
        <is>
          <t>Most Recent Valuation Date</t>
        </is>
      </c>
      <c r="AD5" s="28" t="inlineStr">
        <is>
          <t>Most Recent As-Is Value</t>
        </is>
      </c>
      <c r="AE5" s="28" t="inlineStr">
        <is>
          <t>Most Recent ARV</t>
        </is>
      </c>
      <c r="AF5" s="28" t="inlineStr">
        <is>
          <t>Initial Disbursement Funded</t>
        </is>
      </c>
      <c r="AG5" s="28" t="inlineStr">
        <is>
          <t>Renovation Holdback</t>
        </is>
      </c>
      <c r="AH5" s="28" t="inlineStr">
        <is>
          <t>Renovation HB Funded</t>
        </is>
      </c>
      <c r="AI5" s="28" t="inlineStr">
        <is>
          <t>Renovation HB Remaining</t>
        </is>
      </c>
      <c r="AJ5" s="28" t="inlineStr">
        <is>
          <t>Interest Allocation</t>
        </is>
      </c>
      <c r="AK5" s="28" t="inlineStr">
        <is>
          <t>Interest Allocation Funded</t>
        </is>
      </c>
      <c r="AL5" s="28" t="inlineStr">
        <is>
          <t>Loan Stage</t>
        </is>
      </c>
      <c r="AM5" s="28" t="inlineStr">
        <is>
          <t>Segment</t>
        </is>
      </c>
      <c r="AN5" s="28" t="inlineStr">
        <is>
          <t>Loan Type</t>
        </is>
      </c>
      <c r="AO5" s="28" t="inlineStr">
        <is>
          <t>Product Type</t>
        </is>
      </c>
      <c r="AP5" s="28" t="inlineStr">
        <is>
          <t>Product Sub Type</t>
        </is>
      </c>
      <c r="AQ5" s="28" t="inlineStr">
        <is>
          <t>Transaction Type</t>
        </is>
      </c>
      <c r="AR5" s="28" t="inlineStr">
        <is>
          <t>Project Strategy</t>
        </is>
      </c>
      <c r="AS5" s="28" t="inlineStr">
        <is>
          <t>Strategy Grouping</t>
        </is>
      </c>
      <c r="AT5" s="28" t="inlineStr">
        <is>
          <t>CV Originator</t>
        </is>
      </c>
      <c r="AU5" s="28" t="inlineStr">
        <is>
          <t>Active RM</t>
        </is>
      </c>
      <c r="AV5" s="28" t="inlineStr">
        <is>
          <t>Deal Intro Sub-Source</t>
        </is>
      </c>
      <c r="AW5" s="28" t="inlineStr">
        <is>
          <t>Referral Source Account</t>
        </is>
      </c>
      <c r="AX5" s="28" t="inlineStr">
        <is>
          <t>Referral Source Contact</t>
        </is>
      </c>
      <c r="AY5" s="28" t="inlineStr">
        <is>
          <t>6/30 NPL</t>
        </is>
      </c>
      <c r="AZ5" s="28" t="inlineStr">
        <is>
          <t>Needs NPL Value</t>
        </is>
      </c>
      <c r="BA5" s="28" t="inlineStr">
        <is>
          <t>Special Focus (Y/N)</t>
        </is>
      </c>
      <c r="BB5" s="28" t="inlineStr">
        <is>
          <t>Asset Manager 1</t>
        </is>
      </c>
      <c r="BC5" s="28" t="inlineStr">
        <is>
          <t>AM 1 Assigned Date</t>
        </is>
      </c>
      <c r="BD5" s="28" t="inlineStr">
        <is>
          <t>Asset Manager 2</t>
        </is>
      </c>
      <c r="BE5" s="28" t="inlineStr">
        <is>
          <t>AM 2 Assigned Date</t>
        </is>
      </c>
      <c r="BF5" s="28" t="inlineStr">
        <is>
          <t>Construction Mgr.</t>
        </is>
      </c>
      <c r="BG5" s="28" t="inlineStr">
        <is>
          <t>CM Assigned Date</t>
        </is>
      </c>
      <c r="BH5" s="28" t="inlineStr">
        <is>
          <t>AM Commentary</t>
        </is>
      </c>
    </row>
  </sheetData>
  <autoFilter ref="B5:BH1060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B1:DF5"/>
  <sheetViews>
    <sheetView showGridLines="1" zoomScale="85" zoomScaleNormal="85" workbookViewId="0">
      <pane ySplit="5" topLeftCell="A6" activePane="bottomLeft" state="frozen"/>
      <selection pane="bottomLeft" activeCell="A1" sqref="A1"/>
    </sheetView>
  </sheetViews>
  <sheetFormatPr baseColWidth="8" defaultRowHeight="14.5"/>
  <cols>
    <col width="4.26953125" customWidth="1" min="1" max="1"/>
    <col width="15.26953125" customWidth="1" min="2" max="2"/>
    <col width="20.26953125" bestFit="1" customWidth="1" min="3" max="3"/>
    <col width="40.7265625" bestFit="1" customWidth="1" min="4" max="4"/>
    <col width="17.453125" bestFit="1" customWidth="1" min="5" max="5"/>
    <col width="15.453125" bestFit="1" customWidth="1" min="6" max="6"/>
    <col width="18.7265625" bestFit="1" customWidth="1" min="7" max="7"/>
    <col width="15.26953125" bestFit="1" customWidth="1" min="8" max="8"/>
    <col width="13.54296875" bestFit="1" customWidth="1" min="9" max="9"/>
    <col width="61.1796875" bestFit="1" customWidth="1" min="10" max="10"/>
    <col width="75.54296875" bestFit="1" customWidth="1" min="11" max="11"/>
    <col width="78" bestFit="1" customWidth="1" min="12" max="12"/>
    <col width="22.1796875" bestFit="1" customWidth="1" min="13" max="13"/>
    <col width="32.1796875" bestFit="1" customWidth="1" min="14" max="14"/>
    <col width="77.26953125" bestFit="1" customWidth="1" min="15" max="15"/>
    <col width="22.453125" bestFit="1" customWidth="1" min="16" max="16"/>
    <col width="10.81640625" bestFit="1" customWidth="1" min="17" max="17"/>
    <col width="13.26953125" bestFit="1" customWidth="1" min="18" max="18"/>
    <col width="19" bestFit="1" customWidth="1" min="19" max="19"/>
    <col width="45.1796875" bestFit="1" customWidth="1" min="20" max="20"/>
    <col width="13.7265625" customWidth="1" min="21" max="21"/>
    <col width="20.1796875" bestFit="1" customWidth="1" min="22" max="22"/>
    <col width="14.26953125" bestFit="1" customWidth="1" min="23" max="23"/>
    <col width="21.453125" bestFit="1" customWidth="1" min="24" max="24"/>
    <col width="16.26953125" bestFit="1" customWidth="1" min="25" max="25"/>
    <col width="20.453125" bestFit="1" customWidth="1" min="26" max="26"/>
    <col width="22.1796875" bestFit="1" customWidth="1" min="27" max="27"/>
    <col width="21.81640625" bestFit="1" customWidth="1" min="28" max="28"/>
    <col width="23.1796875" bestFit="1" customWidth="1" min="29" max="29"/>
    <col width="30.1796875" bestFit="1" customWidth="1" min="30" max="31"/>
    <col width="30.81640625" bestFit="1" customWidth="1" min="32" max="32"/>
    <col width="31.1796875" bestFit="1" customWidth="1" min="33" max="33"/>
    <col width="31.1796875" customWidth="1" min="34" max="34"/>
    <col width="22.54296875" bestFit="1" customWidth="1" min="35" max="35"/>
    <col width="21.54296875" customWidth="1" min="36" max="36"/>
    <col width="22.1796875" bestFit="1" customWidth="1" min="37" max="37"/>
    <col width="23.1796875" bestFit="1" customWidth="1" min="38" max="38"/>
    <col width="23.26953125" bestFit="1" customWidth="1" min="39" max="39"/>
    <col width="20.453125" bestFit="1" customWidth="1" min="40" max="40"/>
    <col width="23.26953125" bestFit="1" customWidth="1" min="41" max="41"/>
    <col width="22" bestFit="1" customWidth="1" min="42" max="42"/>
    <col width="22.1796875" bestFit="1" customWidth="1" min="43" max="43"/>
    <col width="35.1796875" bestFit="1" customWidth="1" min="44" max="44"/>
    <col width="23.1796875" bestFit="1" customWidth="1" min="45" max="45"/>
    <col width="19.26953125" bestFit="1" customWidth="1" min="46" max="46"/>
    <col width="25" bestFit="1" customWidth="1" min="47" max="47"/>
    <col width="24" bestFit="1" customWidth="1" min="48" max="48"/>
    <col width="27.26953125" bestFit="1" customWidth="1" min="49" max="49"/>
    <col width="37.453125" bestFit="1" customWidth="1" min="50" max="50"/>
    <col width="32.26953125" bestFit="1" customWidth="1" min="51" max="51"/>
    <col width="26.81640625" bestFit="1" customWidth="1" min="52" max="52"/>
    <col width="26.81640625" customWidth="1" min="53" max="54"/>
    <col width="14.453125" bestFit="1" customWidth="1" min="55" max="55"/>
    <col width="23.81640625" bestFit="1" customWidth="1" min="56" max="56"/>
    <col width="26.26953125" bestFit="1" customWidth="1" min="57" max="57"/>
    <col width="19.81640625" bestFit="1" customWidth="1" min="58" max="58"/>
    <col width="36.54296875" bestFit="1" customWidth="1" min="59" max="59"/>
    <col width="27.1796875" bestFit="1" customWidth="1" min="60" max="60"/>
    <col width="23.7265625" bestFit="1" customWidth="1" min="61" max="61"/>
    <col width="17.26953125" bestFit="1" customWidth="1" min="62" max="62"/>
    <col width="31.7265625" bestFit="1" customWidth="1" min="63" max="63"/>
    <col width="25" bestFit="1" customWidth="1" min="64" max="64"/>
    <col width="32.453125" bestFit="1" customWidth="1" min="65" max="65"/>
    <col width="35.453125" bestFit="1" customWidth="1" min="66" max="66"/>
    <col width="22.453125" bestFit="1" customWidth="1" min="67" max="67"/>
    <col width="29.7265625" bestFit="1" customWidth="1" min="68" max="68"/>
    <col width="107" bestFit="1" customWidth="1" min="69" max="69"/>
    <col width="17.453125" bestFit="1" customWidth="1" min="70" max="70"/>
    <col width="18.54296875" bestFit="1" customWidth="1" min="71" max="71"/>
    <col width="20.81640625" bestFit="1" customWidth="1" min="72" max="72"/>
    <col width="21.7265625" bestFit="1" customWidth="1" min="73" max="73"/>
    <col width="21.453125" bestFit="1" customWidth="1" min="74" max="74"/>
    <col width="21.54296875" bestFit="1" customWidth="1" min="75" max="75"/>
    <col width="26.26953125" bestFit="1" customWidth="1" min="76" max="76"/>
    <col width="33.54296875" bestFit="1" customWidth="1" min="77" max="77"/>
    <col width="22" bestFit="1" customWidth="1" min="78" max="78"/>
    <col width="18.1796875" bestFit="1" customWidth="1" min="79" max="79"/>
    <col width="19.1796875" bestFit="1" customWidth="1" min="80" max="80"/>
    <col width="14.7265625" bestFit="1" customWidth="1" min="81" max="81"/>
    <col width="38.453125" bestFit="1" customWidth="1" min="82" max="82"/>
    <col width="73.453125" bestFit="1" customWidth="1" min="83" max="83"/>
    <col width="27.54296875" bestFit="1" customWidth="1" min="84" max="84"/>
    <col width="15.54296875" bestFit="1" customWidth="1" min="85" max="85"/>
    <col width="19.54296875" bestFit="1" customWidth="1" min="86" max="86"/>
    <col width="19.26953125" bestFit="1" customWidth="1" min="87" max="87"/>
    <col width="26" bestFit="1" customWidth="1" min="88" max="88"/>
    <col width="9.1796875" customWidth="1" min="89" max="89"/>
    <col width="17.7265625" bestFit="1" customWidth="1" min="90" max="90"/>
    <col width="20.81640625" bestFit="1" customWidth="1" min="91" max="91"/>
    <col width="23.453125" bestFit="1" customWidth="1" min="92" max="92"/>
    <col width="17.81640625" bestFit="1" customWidth="1" min="93" max="93"/>
    <col width="20.26953125" bestFit="1" customWidth="1" min="94" max="94"/>
    <col width="18.81640625" bestFit="1" customWidth="1" min="95" max="95"/>
    <col width="15" bestFit="1" customWidth="1" min="96" max="96"/>
    <col width="31" bestFit="1" customWidth="1" min="97" max="97"/>
    <col width="27.54296875" bestFit="1" customWidth="1" min="98" max="98"/>
    <col width="21" bestFit="1" customWidth="1" min="99" max="99"/>
    <col width="21" customWidth="1" min="100" max="100"/>
    <col width="21" bestFit="1" customWidth="1" min="101" max="101"/>
    <col width="21" customWidth="1" min="102" max="102"/>
    <col width="17.1796875" bestFit="1" customWidth="1" min="103" max="103"/>
    <col width="20.26953125" bestFit="1" customWidth="1" min="104" max="104"/>
    <col width="20.26953125" customWidth="1" min="105" max="105"/>
    <col width="22.453125" bestFit="1" customWidth="1" min="106" max="106"/>
    <col width="22" bestFit="1" customWidth="1" min="107" max="107"/>
    <col width="17.81640625" bestFit="1" customWidth="1" min="108" max="108"/>
    <col width="20" bestFit="1" customWidth="1" min="109" max="109"/>
    <col width="16.453125" bestFit="1" customWidth="1" min="110" max="110"/>
  </cols>
  <sheetData>
    <row r="1" ht="15" customHeight="1">
      <c r="AI1" s="10" t="inlineStr">
        <is>
          <t>CALC</t>
        </is>
      </c>
      <c r="CL1" s="10" t="inlineStr">
        <is>
          <t>CALC</t>
        </is>
      </c>
      <c r="CM1" s="10" t="inlineStr">
        <is>
          <t>CALC</t>
        </is>
      </c>
      <c r="CN1" s="10" t="inlineStr">
        <is>
          <t>CALC</t>
        </is>
      </c>
      <c r="CO1" s="10" t="inlineStr">
        <is>
          <t>CALC</t>
        </is>
      </c>
      <c r="CP1" s="10" t="inlineStr">
        <is>
          <t>CALC</t>
        </is>
      </c>
      <c r="CQ1" s="10" t="inlineStr">
        <is>
          <t>CALC</t>
        </is>
      </c>
      <c r="CR1" s="10" t="inlineStr">
        <is>
          <t>CALC</t>
        </is>
      </c>
      <c r="CS1" s="10" t="inlineStr">
        <is>
          <t>CALC</t>
        </is>
      </c>
      <c r="CT1" s="10" t="inlineStr">
        <is>
          <t>CALC</t>
        </is>
      </c>
      <c r="CU1" s="10" t="inlineStr">
        <is>
          <t>CALC</t>
        </is>
      </c>
      <c r="CV1" s="10" t="inlineStr">
        <is>
          <t>CALC</t>
        </is>
      </c>
      <c r="CW1" s="10" t="inlineStr">
        <is>
          <t>CALC</t>
        </is>
      </c>
      <c r="CX1" s="10" t="inlineStr">
        <is>
          <t>CALC</t>
        </is>
      </c>
      <c r="CY1" s="10" t="inlineStr">
        <is>
          <t>CALC</t>
        </is>
      </c>
      <c r="CZ1" s="10" t="inlineStr">
        <is>
          <t>CALC</t>
        </is>
      </c>
      <c r="DA1" s="10" t="inlineStr">
        <is>
          <t>CALC</t>
        </is>
      </c>
      <c r="DB1" s="10" t="inlineStr">
        <is>
          <t>CALC</t>
        </is>
      </c>
      <c r="DC1" s="10" t="inlineStr">
        <is>
          <t>CALC</t>
        </is>
      </c>
      <c r="DD1" s="10" t="inlineStr">
        <is>
          <t>CALC</t>
        </is>
      </c>
      <c r="DE1" s="10" t="inlineStr">
        <is>
          <t>CALC</t>
        </is>
      </c>
      <c r="DF1" s="10" t="inlineStr">
        <is>
          <t>CALC</t>
        </is>
      </c>
    </row>
    <row r="2" ht="15" customHeight="1">
      <c r="B2" s="60" t="inlineStr">
        <is>
          <t>Bridge Asset Level Data</t>
        </is>
      </c>
      <c r="AI2" s="9" t="n"/>
      <c r="DA2" s="9" t="n"/>
      <c r="DB2" s="9" t="n"/>
      <c r="DC2" s="9" t="n"/>
      <c r="DD2" s="9" t="n"/>
      <c r="DE2" s="9" t="n"/>
      <c r="DF2" s="9" t="n"/>
    </row>
    <row r="3" ht="15" customHeight="1">
      <c r="DE3" s="25" t="n">
        <v>46203</v>
      </c>
    </row>
    <row r="4" ht="15" customHeight="1">
      <c r="AJ4" s="74">
        <f>SUBTOTAL(9,AJ6:AJ4695)</f>
        <v/>
      </c>
      <c r="CP4" s="25" t="n">
        <v>46178</v>
      </c>
      <c r="CQ4" s="25">
        <f>+$CP$4</f>
        <v/>
      </c>
      <c r="CV4" s="25">
        <f>EDATE(DE3,-6)</f>
        <v/>
      </c>
      <c r="DE4" s="25">
        <f>+$DE$3-90</f>
        <v/>
      </c>
    </row>
    <row r="5" ht="45" customHeight="1">
      <c r="B5" s="34" t="inlineStr">
        <is>
          <t>Portfolio</t>
        </is>
      </c>
      <c r="C5" s="34" t="inlineStr">
        <is>
          <t>Loan Buyer</t>
        </is>
      </c>
      <c r="D5" s="34" t="inlineStr">
        <is>
          <t>Financing</t>
        </is>
      </c>
      <c r="E5" s="34" t="inlineStr">
        <is>
          <t>Deal Number</t>
        </is>
      </c>
      <c r="F5" s="34" t="inlineStr">
        <is>
          <t>Servicer ID</t>
        </is>
      </c>
      <c r="G5" s="34" t="inlineStr">
        <is>
          <t>Servicer</t>
        </is>
      </c>
      <c r="H5" s="34" t="inlineStr">
        <is>
          <t>SF Yardi ID</t>
        </is>
      </c>
      <c r="I5" s="34" t="inlineStr">
        <is>
          <t>Asset ID</t>
        </is>
      </c>
      <c r="J5" s="34" t="inlineStr">
        <is>
          <t>Deal Name</t>
        </is>
      </c>
      <c r="K5" s="34" t="inlineStr">
        <is>
          <t>Borrower Entity</t>
        </is>
      </c>
      <c r="L5" s="34" t="inlineStr">
        <is>
          <t>Account Name</t>
        </is>
      </c>
      <c r="M5" s="34" t="inlineStr">
        <is>
          <t>Do Not Lend (Y/N)</t>
        </is>
      </c>
      <c r="N5" s="34" t="inlineStr">
        <is>
          <t>Primary Contact</t>
        </is>
      </c>
      <c r="O5" s="34" t="inlineStr">
        <is>
          <t>Address</t>
        </is>
      </c>
      <c r="P5" s="34" t="inlineStr">
        <is>
          <t>City</t>
        </is>
      </c>
      <c r="Q5" s="34" t="inlineStr">
        <is>
          <t>State</t>
        </is>
      </c>
      <c r="R5" s="34" t="inlineStr">
        <is>
          <t>Zip</t>
        </is>
      </c>
      <c r="S5" s="34" t="inlineStr">
        <is>
          <t>County</t>
        </is>
      </c>
      <c r="T5" s="34" t="inlineStr">
        <is>
          <t>CBSA</t>
        </is>
      </c>
      <c r="U5" s="34" t="inlineStr">
        <is>
          <t>APN</t>
        </is>
      </c>
      <c r="V5" s="34" t="inlineStr">
        <is>
          <t>Additional APNs</t>
        </is>
      </c>
      <c r="W5" s="34" t="inlineStr">
        <is>
          <t># of Units</t>
        </is>
      </c>
      <c r="X5" s="34" t="inlineStr">
        <is>
          <t>Year Built</t>
        </is>
      </c>
      <c r="Y5" s="34" t="inlineStr">
        <is>
          <t>Square Feet</t>
        </is>
      </c>
      <c r="Z5" s="34" t="inlineStr">
        <is>
          <t>Origination Date</t>
        </is>
      </c>
      <c r="AA5" s="34" t="inlineStr">
        <is>
          <t>First Funding Date</t>
        </is>
      </c>
      <c r="AB5" s="34" t="inlineStr">
        <is>
          <t>Last Funding Date</t>
        </is>
      </c>
      <c r="AC5" s="34" t="inlineStr">
        <is>
          <t>Next Payment Date</t>
        </is>
      </c>
      <c r="AD5" s="34" t="inlineStr">
        <is>
          <t>Original Loan Maturity date</t>
        </is>
      </c>
      <c r="AE5" s="34" t="inlineStr">
        <is>
          <t>Current Loan Maturity date</t>
        </is>
      </c>
      <c r="AF5" s="34" t="inlineStr">
        <is>
          <t>Original Asset Maturity date</t>
        </is>
      </c>
      <c r="AG5" s="34" t="inlineStr">
        <is>
          <t>Current Asset Maturity Date</t>
        </is>
      </c>
      <c r="AH5" s="34" t="inlineStr">
        <is>
          <t>Asset Commitment</t>
        </is>
      </c>
      <c r="AI5" s="34" t="inlineStr">
        <is>
          <t>SF Funded Amount</t>
        </is>
      </c>
      <c r="AJ5" s="34" t="inlineStr">
        <is>
          <t>6/5 UPB</t>
        </is>
      </c>
      <c r="AK5" s="34" t="inlineStr">
        <is>
          <t>Suspense Balance</t>
        </is>
      </c>
      <c r="AL5" s="34" t="inlineStr">
        <is>
          <t>Asset Manager 1</t>
        </is>
      </c>
      <c r="AM5" s="34" t="inlineStr">
        <is>
          <t>AM 1 Assigned Date</t>
        </is>
      </c>
      <c r="AN5" s="34" t="inlineStr">
        <is>
          <t>Asset Manager 2</t>
        </is>
      </c>
      <c r="AO5" s="34" t="inlineStr">
        <is>
          <t>AM 2 Assigned Date</t>
        </is>
      </c>
      <c r="AP5" s="34" t="inlineStr">
        <is>
          <t>Construction Mgr.</t>
        </is>
      </c>
      <c r="AQ5" s="34" t="inlineStr">
        <is>
          <t>CM Assigned Date</t>
        </is>
      </c>
      <c r="AR5" s="34" t="inlineStr">
        <is>
          <t>Remedy Plan</t>
        </is>
      </c>
      <c r="AS5" s="34" t="inlineStr">
        <is>
          <t>Delinquency Notes</t>
        </is>
      </c>
      <c r="AT5" s="34" t="inlineStr">
        <is>
          <t>Maturity Status</t>
        </is>
      </c>
      <c r="AU5" s="34" t="inlineStr">
        <is>
          <t>Is Special Asset (Y/N)</t>
        </is>
      </c>
      <c r="AV5" s="34" t="inlineStr">
        <is>
          <t>Special Asset Status</t>
        </is>
      </c>
      <c r="AW5" s="34" t="inlineStr">
        <is>
          <t>Special Asset Reason</t>
        </is>
      </c>
      <c r="AX5" s="34" t="inlineStr">
        <is>
          <t>Special Asset: Special Asset Status</t>
        </is>
      </c>
      <c r="AY5" s="34" t="inlineStr">
        <is>
          <t>Special Asset: Resolved Date</t>
        </is>
      </c>
      <c r="AZ5" s="34" t="inlineStr">
        <is>
          <t>Forbearance Term Date</t>
        </is>
      </c>
      <c r="BA5" s="34" t="inlineStr">
        <is>
          <t>FC Sale Date</t>
        </is>
      </c>
      <c r="BB5" s="34" t="inlineStr">
        <is>
          <t>Rescheduled FC Sale Date</t>
        </is>
      </c>
      <c r="BC5" s="34" t="inlineStr">
        <is>
          <t>REO Date</t>
        </is>
      </c>
      <c r="BD5" s="34" t="inlineStr">
        <is>
          <t>Origination Value Dt</t>
        </is>
      </c>
      <c r="BE5" s="34" t="inlineStr">
        <is>
          <t>Origination As-Is Value</t>
        </is>
      </c>
      <c r="BF5" s="34" t="inlineStr">
        <is>
          <t>Origination ARV</t>
        </is>
      </c>
      <c r="BG5" s="34" t="inlineStr">
        <is>
          <t>Most Recent Appraisal Order Date</t>
        </is>
      </c>
      <c r="BH5" s="34" t="inlineStr">
        <is>
          <t>Updated Valuation Date</t>
        </is>
      </c>
      <c r="BI5" s="34" t="inlineStr">
        <is>
          <t>Updated As-Is Value</t>
        </is>
      </c>
      <c r="BJ5" s="34" t="inlineStr">
        <is>
          <t>Updated ARV</t>
        </is>
      </c>
      <c r="BK5" s="34" t="inlineStr">
        <is>
          <t>Initial Disbursement Funded</t>
        </is>
      </c>
      <c r="BL5" s="34" t="inlineStr">
        <is>
          <t>Renovation Holdback</t>
        </is>
      </c>
      <c r="BM5" s="34" t="inlineStr">
        <is>
          <t>Renovation Holdback Funded</t>
        </is>
      </c>
      <c r="BN5" s="34" t="inlineStr">
        <is>
          <t>Renovation Holdback Remaining</t>
        </is>
      </c>
      <c r="BO5" s="34" t="inlineStr">
        <is>
          <t>Interest Allocation</t>
        </is>
      </c>
      <c r="BP5" s="34" t="inlineStr">
        <is>
          <t>Interest Allocation Funded</t>
        </is>
      </c>
      <c r="BQ5" s="34" t="inlineStr">
        <is>
          <t>Title Company</t>
        </is>
      </c>
      <c r="BR5" s="34" t="inlineStr">
        <is>
          <t>Tax Due Date</t>
        </is>
      </c>
      <c r="BS5" s="34" t="inlineStr">
        <is>
          <t>Tax Frequency</t>
        </is>
      </c>
      <c r="BT5" s="34" t="inlineStr">
        <is>
          <t>Tax Commentary</t>
        </is>
      </c>
      <c r="BU5" s="34" t="inlineStr">
        <is>
          <t>Segment</t>
        </is>
      </c>
      <c r="BV5" s="34" t="inlineStr">
        <is>
          <t>Product Type</t>
        </is>
      </c>
      <c r="BW5" s="34" t="inlineStr">
        <is>
          <t>Product Sub-Type</t>
        </is>
      </c>
      <c r="BX5" s="34" t="inlineStr">
        <is>
          <t xml:space="preserve">Transaction Type </t>
        </is>
      </c>
      <c r="BY5" s="34" t="inlineStr">
        <is>
          <t>Project Strategy</t>
        </is>
      </c>
      <c r="BZ5" s="34" t="inlineStr">
        <is>
          <t>Strategy Grouping</t>
        </is>
      </c>
      <c r="CA5" s="34" t="inlineStr">
        <is>
          <t>Property Type</t>
        </is>
      </c>
      <c r="CB5" s="34" t="inlineStr">
        <is>
          <t>Originator</t>
        </is>
      </c>
      <c r="CC5" s="34" t="inlineStr">
        <is>
          <t>Active RM</t>
        </is>
      </c>
      <c r="CD5" s="34" t="inlineStr">
        <is>
          <t>Deal Intro Sub-Source</t>
        </is>
      </c>
      <c r="CE5" s="34" t="inlineStr">
        <is>
          <t>Referral Source Account</t>
        </is>
      </c>
      <c r="CF5" s="34" t="inlineStr">
        <is>
          <t>Referral Source Contact</t>
        </is>
      </c>
      <c r="CG5" s="34" t="inlineStr">
        <is>
          <t>Loan Stage</t>
        </is>
      </c>
      <c r="CH5" s="34" t="inlineStr">
        <is>
          <t>Property Status</t>
        </is>
      </c>
      <c r="CI5" s="34" t="inlineStr">
        <is>
          <t>Servicer Status</t>
        </is>
      </c>
      <c r="CJ5" s="34" t="inlineStr">
        <is>
          <t>Servicer Maturity Date</t>
        </is>
      </c>
      <c r="CK5" s="36" t="n"/>
      <c r="CL5" s="31" t="inlineStr">
        <is>
          <t>Loan Type</t>
        </is>
      </c>
      <c r="CM5" s="31" t="inlineStr">
        <is>
          <t>CV Maturity Date</t>
        </is>
      </c>
      <c r="CN5" s="31" t="inlineStr">
        <is>
          <t>Maturity Difference</t>
        </is>
      </c>
      <c r="CO5" s="31" t="inlineStr">
        <is>
          <t>Maturity Date</t>
        </is>
      </c>
      <c r="CP5" s="31" t="inlineStr">
        <is>
          <t>Days to Maturity</t>
        </is>
      </c>
      <c r="CQ5" s="31" t="inlineStr">
        <is>
          <t>Days Past Due</t>
        </is>
      </c>
      <c r="CR5" s="31" t="inlineStr">
        <is>
          <t>DQ Status</t>
        </is>
      </c>
      <c r="CS5" s="31" t="inlineStr">
        <is>
          <t>Most Recent Valuation Date</t>
        </is>
      </c>
      <c r="CT5" s="31" t="inlineStr">
        <is>
          <t>Most Recent As-Is Value</t>
        </is>
      </c>
      <c r="CU5" s="31" t="inlineStr">
        <is>
          <t>Most Recent ARV</t>
        </is>
      </c>
      <c r="CV5" s="31" t="inlineStr">
        <is>
          <t>Needs NPL Value</t>
        </is>
      </c>
      <c r="CW5" s="31" t="inlineStr">
        <is>
          <t>Securitized (Y/N)</t>
        </is>
      </c>
      <c r="CX5" s="31" t="inlineStr">
        <is>
          <t>SSP JV (Y/N)</t>
        </is>
      </c>
      <c r="CY5" s="31" t="inlineStr">
        <is>
          <t>CPP JV (Y/N)</t>
        </is>
      </c>
      <c r="CZ5" s="31" t="inlineStr">
        <is>
          <t>Oaktree JV (Y/N)</t>
        </is>
      </c>
      <c r="DA5" s="31" t="inlineStr">
        <is>
          <t>Legacy (Y/N)</t>
        </is>
      </c>
      <c r="DB5" s="31" t="inlineStr">
        <is>
          <t>Matured Loan (YN)</t>
        </is>
      </c>
      <c r="DC5" s="31" t="inlineStr">
        <is>
          <t>DQ 45+ Loan (Y/N)</t>
        </is>
      </c>
      <c r="DD5" s="31" t="inlineStr">
        <is>
          <t>SA Loan (Y/N)</t>
        </is>
      </c>
      <c r="DE5" s="31" t="inlineStr">
        <is>
          <t>6/30 NPL (Y/N)</t>
        </is>
      </c>
      <c r="DF5" s="31" t="inlineStr">
        <is>
          <t xml:space="preserve">2Q26 Special Loans List </t>
        </is>
      </c>
    </row>
  </sheetData>
  <autoFilter ref="B5:DF4695"/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B1:AH5"/>
  <sheetViews>
    <sheetView showGridLines="1" zoomScale="85" zoomScaleNormal="85" workbookViewId="0">
      <pane ySplit="5" topLeftCell="A6" activePane="bottomLeft" state="frozen"/>
      <selection pane="bottomLeft" activeCell="A1" sqref="A1"/>
    </sheetView>
  </sheetViews>
  <sheetFormatPr baseColWidth="8" defaultRowHeight="14.5"/>
  <cols>
    <col width="4.26953125" customWidth="1" min="1" max="1"/>
    <col width="17.453125" bestFit="1" customWidth="1" min="2" max="2"/>
    <col width="17.54296875" customWidth="1" min="3" max="3"/>
    <col width="16.26953125" customWidth="1" min="4" max="4"/>
    <col width="15.26953125" bestFit="1" customWidth="1" min="5" max="5"/>
    <col width="70" bestFit="1" customWidth="1" min="6" max="6"/>
    <col width="70.453125" bestFit="1" customWidth="1" min="7" max="7"/>
    <col width="42.26953125" bestFit="1" customWidth="1" min="8" max="8"/>
    <col width="22.1796875" bestFit="1" customWidth="1" min="9" max="9"/>
    <col width="15.54296875" bestFit="1" customWidth="1" min="10" max="10"/>
    <col width="21.7265625" bestFit="1" customWidth="1" min="11" max="11"/>
    <col width="22.54296875" bestFit="1" customWidth="1" min="12" max="12"/>
    <col width="12.453125" bestFit="1" customWidth="1" min="13" max="13"/>
    <col width="29.1796875" bestFit="1" customWidth="1" min="14" max="14"/>
    <col width="17.453125" bestFit="1" customWidth="1" min="15" max="15"/>
    <col width="18.26953125" customWidth="1" min="16" max="16"/>
    <col width="20.453125" bestFit="1" customWidth="1" min="17" max="17"/>
    <col width="17.81640625" bestFit="1" customWidth="1" min="18" max="18"/>
    <col width="23.1796875" bestFit="1" customWidth="1" min="19" max="19"/>
    <col width="14.453125" bestFit="1" customWidth="1" min="20" max="20"/>
    <col width="18.81640625" bestFit="1" customWidth="1" min="21" max="21"/>
    <col width="15" bestFit="1" customWidth="1" min="22" max="22"/>
    <col width="19.1796875" bestFit="1" customWidth="1" min="23" max="23"/>
    <col width="21.81640625" bestFit="1" customWidth="1" min="24" max="24"/>
    <col width="14.7265625" bestFit="1" customWidth="1" min="25" max="25"/>
    <col width="38.453125" bestFit="1" customWidth="1" min="26" max="26"/>
    <col width="40.54296875" bestFit="1" customWidth="1" min="27" max="27"/>
    <col width="27.54296875" bestFit="1" customWidth="1" min="28" max="28"/>
    <col width="75.7265625" customWidth="1" min="29" max="29"/>
    <col width="9.1796875" customWidth="1" min="30" max="30"/>
    <col width="15.6328125" customWidth="1" min="31" max="31"/>
    <col width="21.6328125" customWidth="1" min="32" max="34"/>
  </cols>
  <sheetData>
    <row r="1" ht="15" customHeight="1">
      <c r="U1" s="10" t="inlineStr">
        <is>
          <t>CALC</t>
        </is>
      </c>
      <c r="V1" s="10" t="inlineStr">
        <is>
          <t>CALC</t>
        </is>
      </c>
      <c r="AE1" s="10" t="inlineStr">
        <is>
          <t>CALC</t>
        </is>
      </c>
    </row>
    <row r="2" ht="15" customHeight="1">
      <c r="B2" s="60" t="inlineStr">
        <is>
          <t>Term Loan Level Data</t>
        </is>
      </c>
      <c r="AE2" s="25" t="n">
        <v>46203</v>
      </c>
    </row>
    <row r="3" ht="15" customHeight="1">
      <c r="B3" s="32" t="n"/>
    </row>
    <row r="4" ht="15" customHeight="1">
      <c r="P4" s="75">
        <f>SUBTOTAL(9,P6:P1192)</f>
        <v/>
      </c>
      <c r="U4" s="24" t="n">
        <v>46178</v>
      </c>
      <c r="AE4" s="25">
        <f>+$AE$2-90</f>
        <v/>
      </c>
      <c r="AF4" s="10" t="inlineStr">
        <is>
          <t>Single Family Rental</t>
        </is>
      </c>
      <c r="AG4" s="10" t="inlineStr">
        <is>
          <t>Multifamily</t>
        </is>
      </c>
    </row>
    <row r="5" ht="45" customHeight="1">
      <c r="B5" s="29" t="inlineStr">
        <is>
          <t>Deal Number</t>
        </is>
      </c>
      <c r="C5" s="29" t="inlineStr">
        <is>
          <t>Servicer ID</t>
        </is>
      </c>
      <c r="D5" s="29" t="inlineStr">
        <is>
          <t>Servicer</t>
        </is>
      </c>
      <c r="E5" s="29" t="inlineStr">
        <is>
          <t>SF Yardi ID</t>
        </is>
      </c>
      <c r="F5" s="29" t="inlineStr">
        <is>
          <t>Deal Name</t>
        </is>
      </c>
      <c r="G5" s="29" t="inlineStr">
        <is>
          <t>Borrower Entity</t>
        </is>
      </c>
      <c r="H5" s="29" t="inlineStr">
        <is>
          <t>Account Name</t>
        </is>
      </c>
      <c r="I5" s="29" t="inlineStr">
        <is>
          <t>Do Not Lend (Y/N)</t>
        </is>
      </c>
      <c r="J5" s="29" t="inlineStr">
        <is>
          <t>Portfolio</t>
        </is>
      </c>
      <c r="K5" s="29" t="inlineStr">
        <is>
          <t>Segment</t>
        </is>
      </c>
      <c r="L5" s="29" t="inlineStr">
        <is>
          <t>Financing</t>
        </is>
      </c>
      <c r="M5" s="29" t="inlineStr">
        <is>
          <t>CPP JV</t>
        </is>
      </c>
      <c r="N5" s="29" t="inlineStr">
        <is>
          <t>Loan Buyer</t>
        </is>
      </c>
      <c r="O5" s="29" t="inlineStr">
        <is>
          <t>Loan Amount</t>
        </is>
      </c>
      <c r="P5" s="29" t="inlineStr">
        <is>
          <t>6/5 UPB</t>
        </is>
      </c>
      <c r="Q5" s="29" t="inlineStr">
        <is>
          <t>Origination Date</t>
        </is>
      </c>
      <c r="R5" s="29" t="inlineStr">
        <is>
          <t>Maturity Date</t>
        </is>
      </c>
      <c r="S5" s="29" t="inlineStr">
        <is>
          <t>Next Payment Date</t>
        </is>
      </c>
      <c r="T5" s="29" t="inlineStr">
        <is>
          <t>REO Date</t>
        </is>
      </c>
      <c r="U5" s="29" t="inlineStr">
        <is>
          <t>Days Past Due</t>
        </is>
      </c>
      <c r="V5" s="29" t="inlineStr">
        <is>
          <t>DQ Status</t>
        </is>
      </c>
      <c r="W5" s="29" t="inlineStr">
        <is>
          <t>Asset Manager</t>
        </is>
      </c>
      <c r="X5" s="29" t="inlineStr">
        <is>
          <t>Originator</t>
        </is>
      </c>
      <c r="Y5" s="29" t="inlineStr">
        <is>
          <t>Active RM</t>
        </is>
      </c>
      <c r="Z5" s="29" t="inlineStr">
        <is>
          <t>Deal Intro Sub-Source</t>
        </is>
      </c>
      <c r="AA5" s="29" t="inlineStr">
        <is>
          <t>Referral Source Account</t>
        </is>
      </c>
      <c r="AB5" s="29" t="inlineStr">
        <is>
          <t>Referral Source Contact</t>
        </is>
      </c>
      <c r="AC5" s="29" t="inlineStr">
        <is>
          <t>AM Commentary</t>
        </is>
      </c>
      <c r="AD5" s="30" t="n"/>
      <c r="AE5" s="31" t="inlineStr">
        <is>
          <t xml:space="preserve">2Q26 Special Loans List </t>
        </is>
      </c>
      <c r="AF5" s="31" t="inlineStr">
        <is>
          <t>SFR Allocation</t>
        </is>
      </c>
      <c r="AG5" s="31" t="inlineStr">
        <is>
          <t>MF Allocation</t>
        </is>
      </c>
      <c r="AH5" s="31" t="inlineStr">
        <is>
          <t>Strategy Grouping</t>
        </is>
      </c>
    </row>
  </sheetData>
  <autoFilter ref="B5:AH1192"/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B1:Y5"/>
  <sheetViews>
    <sheetView showGridLines="1" zoomScale="85" zoomScaleNormal="85" workbookViewId="0">
      <pane ySplit="5" topLeftCell="A6" activePane="bottomLeft" state="frozen"/>
      <selection pane="bottomLeft" activeCell="A1" sqref="A1"/>
    </sheetView>
  </sheetViews>
  <sheetFormatPr baseColWidth="8" defaultRowHeight="15" customHeight="1"/>
  <cols>
    <col width="4.26953125" customWidth="1" min="1" max="1"/>
    <col width="17.453125" bestFit="1" customWidth="1" min="2" max="2"/>
    <col width="13.54296875" bestFit="1" customWidth="1" min="3" max="3"/>
    <col width="17.54296875" customWidth="1" min="4" max="4"/>
    <col width="21" customWidth="1" min="5" max="5"/>
    <col width="23.453125" customWidth="1" min="6" max="6"/>
    <col width="21" customWidth="1" min="7" max="7"/>
    <col width="56.81640625" bestFit="1" customWidth="1" min="8" max="8"/>
    <col width="23.1796875" bestFit="1" customWidth="1" min="9" max="9"/>
    <col width="10.81640625" bestFit="1" customWidth="1" min="10" max="10"/>
    <col width="13.81640625" customWidth="1" min="11" max="11"/>
    <col width="45.1796875" bestFit="1" customWidth="1" min="12" max="12"/>
    <col width="12.26953125" bestFit="1" customWidth="1" min="13" max="13"/>
    <col width="19.81640625" bestFit="1" customWidth="1" min="14" max="14"/>
    <col width="26.1796875" customWidth="1" min="15" max="15"/>
    <col width="25" customWidth="1" min="16" max="16"/>
    <col width="23.7265625" customWidth="1" min="17" max="17"/>
    <col width="44.453125" bestFit="1" customWidth="1" min="18" max="18"/>
    <col width="20.81640625" customWidth="1" min="19" max="19"/>
    <col width="20.7265625" customWidth="1" min="20" max="20"/>
    <col width="9.1796875" customWidth="1" min="21" max="21"/>
    <col width="15.54296875" customWidth="1" min="22" max="22"/>
    <col width="15.54296875" bestFit="1" customWidth="1" min="23" max="23"/>
    <col width="16" bestFit="1" customWidth="1" min="24" max="24"/>
    <col width="21.7265625" customWidth="1" min="25" max="25"/>
  </cols>
  <sheetData>
    <row r="1" ht="14.5" customHeight="1">
      <c r="O1" s="10" t="n"/>
      <c r="P1" s="10" t="n"/>
      <c r="Q1" s="10" t="n"/>
      <c r="R1" s="10" t="n"/>
      <c r="T1" s="10" t="inlineStr">
        <is>
          <t>CALC</t>
        </is>
      </c>
      <c r="V1" s="10" t="inlineStr">
        <is>
          <t>CALC</t>
        </is>
      </c>
    </row>
    <row r="2" ht="15" customHeight="1">
      <c r="B2" s="60" t="inlineStr">
        <is>
          <t>Term Asset Level Data</t>
        </is>
      </c>
    </row>
    <row r="3" ht="15" customHeight="1">
      <c r="B3" s="60" t="n"/>
    </row>
    <row r="4" ht="15" customHeight="1">
      <c r="T4" s="74">
        <f>SUBTOTAL(9,T6:T27156)</f>
        <v/>
      </c>
      <c r="U4" s="74" t="n"/>
    </row>
    <row r="5" ht="45" customHeight="1">
      <c r="B5" s="34" t="inlineStr">
        <is>
          <t>Deal Number</t>
        </is>
      </c>
      <c r="C5" s="34" t="inlineStr">
        <is>
          <t>Asset ID</t>
        </is>
      </c>
      <c r="D5" s="34" t="inlineStr">
        <is>
          <t>Portfolio</t>
        </is>
      </c>
      <c r="E5" s="34" t="inlineStr">
        <is>
          <t>Segment</t>
        </is>
      </c>
      <c r="F5" s="34" t="inlineStr">
        <is>
          <t>Financing</t>
        </is>
      </c>
      <c r="G5" s="34" t="inlineStr">
        <is>
          <t>Origination Date</t>
        </is>
      </c>
      <c r="H5" s="34" t="inlineStr">
        <is>
          <t>Address</t>
        </is>
      </c>
      <c r="I5" s="34" t="inlineStr">
        <is>
          <t>City</t>
        </is>
      </c>
      <c r="J5" s="34" t="inlineStr">
        <is>
          <t>State</t>
        </is>
      </c>
      <c r="K5" s="34" t="inlineStr">
        <is>
          <t>Zip</t>
        </is>
      </c>
      <c r="L5" s="34" t="inlineStr">
        <is>
          <t>CBSA</t>
        </is>
      </c>
      <c r="M5" s="34" t="inlineStr">
        <is>
          <t># Units</t>
        </is>
      </c>
      <c r="N5" s="34" t="inlineStr">
        <is>
          <t>Property Type</t>
        </is>
      </c>
      <c r="O5" s="34" t="inlineStr">
        <is>
          <t>Grouping</t>
        </is>
      </c>
      <c r="P5" s="34" t="inlineStr">
        <is>
          <t>Origination Value Date</t>
        </is>
      </c>
      <c r="Q5" s="34" t="inlineStr">
        <is>
          <t>Origination Value</t>
        </is>
      </c>
      <c r="R5" s="34" t="inlineStr">
        <is>
          <t>Origination Value Type</t>
        </is>
      </c>
      <c r="S5" s="34" t="inlineStr">
        <is>
          <t>Property ALA</t>
        </is>
      </c>
      <c r="T5" s="34">
        <f>+'Term Loan'!$P$5</f>
        <v/>
      </c>
      <c r="U5" s="74" t="n"/>
      <c r="V5" s="31" t="inlineStr">
        <is>
          <t xml:space="preserve">2Q26 Special Loans List </t>
        </is>
      </c>
      <c r="W5" s="31" t="inlineStr">
        <is>
          <t>Updated Value Date</t>
        </is>
      </c>
      <c r="X5" s="31" t="inlineStr">
        <is>
          <t>Updated As-Is Value</t>
        </is>
      </c>
      <c r="Y5" s="31" t="inlineStr">
        <is>
          <t>Updated Value Type</t>
        </is>
      </c>
    </row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15" customHeight="1"/>
    <row r="11656" ht="15" customHeight="1"/>
    <row r="11657" ht="15" customHeight="1"/>
    <row r="11658" ht="15" customHeight="1"/>
    <row r="11659" ht="15" customHeight="1"/>
    <row r="11660" ht="15" customHeight="1"/>
    <row r="11661" ht="15" customHeight="1"/>
    <row r="11662" ht="15" customHeight="1"/>
    <row r="11663" ht="15" customHeight="1"/>
    <row r="11664" ht="15" customHeight="1"/>
    <row r="11665" ht="15" customHeight="1"/>
    <row r="11666" ht="15" customHeight="1"/>
    <row r="11667" ht="15" customHeight="1"/>
    <row r="11668" ht="15" customHeight="1"/>
    <row r="11669" ht="15" customHeight="1"/>
    <row r="11670" ht="15" customHeight="1"/>
    <row r="11671" ht="15" customHeight="1"/>
    <row r="11672" ht="15" customHeight="1"/>
    <row r="11673" ht="15" customHeight="1"/>
    <row r="11674" ht="15" customHeight="1"/>
    <row r="11675" ht="15" customHeight="1"/>
    <row r="11676" ht="15" customHeight="1"/>
    <row r="11677" ht="15" customHeight="1"/>
    <row r="11678" ht="15" customHeight="1"/>
    <row r="11679" ht="15" customHeight="1"/>
    <row r="11680" ht="15" customHeight="1"/>
    <row r="11681" ht="15" customHeight="1"/>
    <row r="11682" ht="15" customHeight="1"/>
    <row r="11683" ht="15" customHeight="1"/>
    <row r="11684" ht="15" customHeight="1"/>
    <row r="11685" ht="15" customHeight="1"/>
    <row r="11686" ht="15" customHeight="1"/>
    <row r="11687" ht="15" customHeight="1"/>
    <row r="11688" ht="15" customHeight="1"/>
    <row r="11689" ht="15" customHeight="1"/>
    <row r="11690" ht="15" customHeight="1"/>
    <row r="11691" ht="15" customHeight="1"/>
    <row r="11692" ht="15" customHeight="1"/>
    <row r="11693" ht="15" customHeight="1"/>
    <row r="11694" ht="15" customHeight="1"/>
    <row r="11695" ht="15" customHeight="1"/>
    <row r="11696" ht="15" customHeight="1"/>
    <row r="11697" ht="15" customHeight="1"/>
    <row r="11698" ht="15" customHeight="1"/>
    <row r="11699" ht="15" customHeight="1"/>
    <row r="11700" ht="15" customHeight="1"/>
    <row r="11701" ht="15" customHeight="1"/>
    <row r="11702" ht="15" customHeight="1"/>
    <row r="11703" ht="15" customHeight="1"/>
    <row r="11704" ht="15" customHeight="1"/>
    <row r="11705" ht="15" customHeight="1"/>
    <row r="11706" ht="15" customHeight="1"/>
    <row r="11707" ht="15" customHeight="1"/>
    <row r="11708" ht="15" customHeight="1"/>
    <row r="11709" ht="15" customHeight="1"/>
    <row r="11710" ht="15" customHeight="1"/>
    <row r="11711" ht="15" customHeight="1"/>
    <row r="11712" ht="15" customHeight="1"/>
    <row r="11713" ht="15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15" customHeight="1"/>
    <row r="11723" ht="15" customHeight="1"/>
    <row r="11724" ht="15" customHeight="1"/>
    <row r="11725" ht="15" customHeight="1"/>
    <row r="11726" ht="15" customHeight="1"/>
    <row r="11727" ht="15" customHeight="1"/>
    <row r="11728" ht="15" customHeight="1"/>
    <row r="11729" ht="15" customHeight="1"/>
    <row r="11730" ht="15" customHeight="1"/>
    <row r="11731" ht="15" customHeight="1"/>
    <row r="11732" ht="15" customHeight="1"/>
    <row r="11733" ht="15" customHeight="1"/>
    <row r="11734" ht="15" customHeight="1"/>
    <row r="11735" ht="15" customHeight="1"/>
    <row r="11736" ht="15" customHeight="1"/>
    <row r="11737" ht="15" customHeight="1"/>
    <row r="11738" ht="15" customHeight="1"/>
    <row r="11739" ht="15" customHeight="1"/>
    <row r="11740" ht="15" customHeight="1"/>
    <row r="11741" ht="15" customHeight="1"/>
    <row r="11742" ht="15" customHeight="1"/>
    <row r="11743" ht="15" customHeight="1"/>
    <row r="11744" ht="15" customHeight="1"/>
    <row r="11745" ht="15" customHeight="1"/>
    <row r="11746" ht="15" customHeight="1"/>
    <row r="11747" ht="15" customHeight="1"/>
    <row r="11748" ht="15" customHeight="1"/>
    <row r="11749" ht="15" customHeight="1"/>
    <row r="11750" ht="15" customHeight="1"/>
    <row r="11751" ht="15" customHeight="1"/>
    <row r="11752" ht="15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15" customHeight="1"/>
    <row r="11760" ht="15" customHeight="1"/>
    <row r="11761" ht="1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15" customHeight="1"/>
    <row r="11769" ht="15" customHeight="1"/>
    <row r="11770" ht="15" customHeight="1"/>
    <row r="11771" ht="15" customHeight="1"/>
    <row r="11772" ht="15" customHeight="1"/>
    <row r="11773" ht="15" customHeight="1"/>
    <row r="11774" ht="15" customHeight="1"/>
    <row r="11775" ht="15" customHeight="1"/>
    <row r="11776" ht="15" customHeight="1"/>
    <row r="11777" ht="15" customHeight="1"/>
    <row r="11778" ht="15" customHeight="1"/>
    <row r="11779" ht="15" customHeight="1"/>
    <row r="11780" ht="15" customHeight="1"/>
    <row r="11781" ht="15" customHeight="1"/>
    <row r="11782" ht="15" customHeight="1"/>
    <row r="11783" ht="15" customHeight="1"/>
    <row r="11784" ht="15" customHeight="1"/>
    <row r="11785" ht="15" customHeight="1"/>
    <row r="11786" ht="15" customHeight="1"/>
    <row r="11787" ht="15" customHeight="1"/>
    <row r="11788" ht="15" customHeight="1"/>
    <row r="11789" ht="15" customHeight="1"/>
    <row r="11790" ht="15" customHeight="1"/>
    <row r="11791" ht="15" customHeight="1"/>
    <row r="11792" ht="15" customHeight="1"/>
    <row r="11793" ht="15" customHeight="1"/>
    <row r="11794" ht="15" customHeight="1"/>
    <row r="11795" ht="15" customHeight="1"/>
    <row r="11796" ht="15" customHeight="1"/>
    <row r="11797" ht="15" customHeight="1"/>
    <row r="11798" ht="15" customHeight="1"/>
    <row r="11799" ht="15" customHeight="1"/>
    <row r="11800" ht="15" customHeight="1"/>
    <row r="11801" ht="15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15" customHeight="1"/>
    <row r="11813" ht="15" customHeight="1"/>
    <row r="11814" ht="15" customHeight="1"/>
    <row r="11815" ht="15" customHeight="1"/>
    <row r="11816" ht="15" customHeight="1"/>
    <row r="11817" ht="15" customHeight="1"/>
    <row r="11818" ht="15" customHeight="1"/>
    <row r="11819" ht="15" customHeight="1"/>
    <row r="11820" ht="15" customHeight="1"/>
    <row r="11821" ht="15" customHeight="1"/>
    <row r="11822" ht="15" customHeight="1"/>
    <row r="11823" ht="15" customHeight="1"/>
    <row r="11824" ht="15" customHeight="1"/>
    <row r="11825" ht="15" customHeight="1"/>
    <row r="11826" ht="15" customHeight="1"/>
    <row r="11827" ht="15" customHeight="1"/>
    <row r="11828" ht="15" customHeight="1"/>
    <row r="11829" ht="15" customHeight="1"/>
    <row r="11830" ht="15" customHeight="1"/>
    <row r="11831" ht="15" customHeight="1"/>
    <row r="11832" ht="15" customHeight="1"/>
    <row r="11833" ht="15" customHeight="1"/>
    <row r="11834" ht="15" customHeight="1"/>
    <row r="11835" ht="15" customHeight="1"/>
    <row r="11836" ht="15" customHeight="1"/>
    <row r="11837" ht="15" customHeight="1"/>
    <row r="11838" ht="15" customHeight="1"/>
    <row r="11839" ht="15" customHeight="1"/>
    <row r="11840" ht="15" customHeight="1"/>
    <row r="11841" ht="15" customHeight="1"/>
    <row r="11842" ht="15" customHeight="1"/>
    <row r="11843" ht="15" customHeight="1"/>
    <row r="11844" ht="15" customHeight="1"/>
    <row r="11845" ht="15" customHeight="1"/>
    <row r="11846" ht="15" customHeight="1"/>
    <row r="11847" ht="15" customHeight="1"/>
    <row r="11848" ht="15" customHeight="1"/>
    <row r="11849" ht="15" customHeight="1"/>
    <row r="11850" ht="15" customHeight="1"/>
    <row r="11851" ht="15" customHeight="1"/>
    <row r="11852" ht="15" customHeight="1"/>
    <row r="11853" ht="15" customHeight="1"/>
    <row r="11854" ht="15" customHeight="1"/>
    <row r="11855" ht="15" customHeight="1"/>
    <row r="11856" ht="15" customHeight="1"/>
    <row r="11857" ht="15" customHeight="1"/>
    <row r="11858" ht="15" customHeight="1"/>
    <row r="11859" ht="15" customHeight="1"/>
    <row r="11860" ht="15" customHeight="1"/>
    <row r="11861" ht="15" customHeight="1"/>
    <row r="11862" ht="15" customHeight="1"/>
    <row r="11863" ht="15" customHeight="1"/>
    <row r="11864" ht="15" customHeight="1"/>
    <row r="11865" ht="15" customHeight="1"/>
    <row r="11866" ht="15" customHeight="1"/>
    <row r="11867" ht="15" customHeight="1"/>
    <row r="11868" ht="15" customHeight="1"/>
    <row r="11869" ht="15" customHeight="1"/>
    <row r="11870" ht="15" customHeight="1"/>
    <row r="11871" ht="15" customHeight="1"/>
    <row r="11872" ht="15" customHeight="1"/>
    <row r="11873" ht="15" customHeight="1"/>
    <row r="11874" ht="15" customHeight="1"/>
    <row r="11875" ht="15" customHeight="1"/>
    <row r="11876" ht="15" customHeight="1"/>
    <row r="11877" ht="15" customHeight="1"/>
    <row r="11878" ht="15" customHeight="1"/>
    <row r="11879" ht="15" customHeight="1"/>
    <row r="11880" ht="15" customHeight="1"/>
    <row r="11881" ht="15" customHeight="1"/>
    <row r="11882" ht="15" customHeight="1"/>
    <row r="11883" ht="15" customHeight="1"/>
    <row r="11884" ht="15" customHeight="1"/>
    <row r="11885" ht="15" customHeight="1"/>
    <row r="11886" ht="15" customHeight="1"/>
    <row r="11887" ht="15" customHeight="1"/>
    <row r="11888" ht="15" customHeight="1"/>
    <row r="11889" ht="15" customHeight="1"/>
    <row r="11890" ht="15" customHeight="1"/>
    <row r="11891" ht="15" customHeight="1"/>
    <row r="11892" ht="15" customHeight="1"/>
    <row r="11893" ht="15" customHeight="1"/>
    <row r="11894" ht="15" customHeight="1"/>
    <row r="11895" ht="15" customHeight="1"/>
    <row r="11896" ht="15" customHeight="1"/>
    <row r="11897" ht="15" customHeight="1"/>
    <row r="11898" ht="15" customHeight="1"/>
    <row r="11899" ht="15" customHeight="1"/>
    <row r="11900" ht="15" customHeight="1"/>
    <row r="11901" ht="15" customHeight="1"/>
    <row r="11902" ht="15" customHeight="1"/>
    <row r="11903" ht="15" customHeight="1"/>
    <row r="11904" ht="15" customHeight="1"/>
    <row r="11905" ht="15" customHeight="1"/>
    <row r="11906" ht="15" customHeight="1"/>
    <row r="11907" ht="15" customHeight="1"/>
    <row r="11908" ht="15" customHeight="1"/>
    <row r="11909" ht="15" customHeight="1"/>
    <row r="11910" ht="15" customHeight="1"/>
    <row r="11911" ht="15" customHeight="1"/>
    <row r="11912" ht="15" customHeight="1"/>
    <row r="11913" ht="15" customHeight="1"/>
    <row r="11914" ht="15" customHeight="1"/>
    <row r="11915" ht="15" customHeight="1"/>
    <row r="11916" ht="15" customHeight="1"/>
    <row r="11917" ht="15" customHeight="1"/>
    <row r="11918" ht="15" customHeight="1"/>
    <row r="11919" ht="15" customHeight="1"/>
    <row r="11920" ht="15" customHeight="1"/>
    <row r="11921" ht="15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15" customHeight="1"/>
    <row r="11930" ht="15" customHeight="1"/>
    <row r="11931" ht="15" customHeight="1"/>
    <row r="11932" ht="15" customHeight="1"/>
    <row r="11933" ht="15" customHeight="1"/>
    <row r="11934" ht="15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15" customHeight="1"/>
    <row r="11943" ht="15" customHeight="1"/>
    <row r="11944" ht="15" customHeight="1"/>
    <row r="11945" ht="15" customHeight="1"/>
    <row r="11946" ht="15" customHeight="1"/>
    <row r="11947" ht="15" customHeight="1"/>
    <row r="11948" ht="15" customHeight="1"/>
    <row r="11949" ht="15" customHeight="1"/>
    <row r="11950" ht="15" customHeight="1"/>
    <row r="11951" ht="15" customHeight="1"/>
    <row r="11952" ht="15" customHeight="1"/>
    <row r="11953" ht="15" customHeight="1"/>
    <row r="11954" ht="15" customHeight="1"/>
    <row r="11955" ht="15" customHeight="1"/>
    <row r="11956" ht="15" customHeight="1"/>
    <row r="11957" ht="15" customHeight="1"/>
    <row r="11958" ht="15" customHeight="1"/>
    <row r="11959" ht="15" customHeight="1"/>
    <row r="11960" ht="15" customHeight="1"/>
    <row r="11961" ht="15" customHeight="1"/>
    <row r="11962" ht="15" customHeight="1"/>
    <row r="11963" ht="15" customHeight="1"/>
    <row r="11964" ht="15" customHeight="1"/>
    <row r="11965" ht="15" customHeight="1"/>
    <row r="11966" ht="15" customHeight="1"/>
    <row r="11967" ht="15" customHeight="1"/>
    <row r="11968" ht="15" customHeight="1"/>
    <row r="11969" ht="15" customHeight="1"/>
    <row r="11970" ht="15" customHeight="1"/>
    <row r="11971" ht="15" customHeight="1"/>
    <row r="11972" ht="15" customHeight="1"/>
    <row r="11973" ht="15" customHeight="1"/>
    <row r="11974" ht="15" customHeight="1"/>
    <row r="11975" ht="15" customHeight="1"/>
    <row r="11976" ht="15" customHeight="1"/>
    <row r="11977" ht="15" customHeight="1"/>
    <row r="11978" ht="15" customHeight="1"/>
    <row r="11979" ht="15" customHeight="1"/>
    <row r="11980" ht="15" customHeight="1"/>
    <row r="11981" ht="15" customHeight="1"/>
    <row r="11982" ht="15" customHeight="1"/>
    <row r="11983" ht="15" customHeight="1"/>
    <row r="11984" ht="15" customHeight="1"/>
    <row r="11985" ht="15" customHeight="1"/>
    <row r="11986" ht="15" customHeight="1"/>
    <row r="11987" ht="15" customHeight="1"/>
    <row r="11988" ht="15" customHeight="1"/>
    <row r="11989" ht="15" customHeight="1"/>
    <row r="11990" ht="15" customHeight="1"/>
    <row r="11991" ht="15" customHeight="1"/>
    <row r="11992" ht="15" customHeight="1"/>
    <row r="11993" ht="15" customHeight="1"/>
    <row r="11994" ht="15" customHeight="1"/>
    <row r="11995" ht="15" customHeight="1"/>
    <row r="11996" ht="15" customHeight="1"/>
    <row r="11997" ht="15" customHeight="1"/>
    <row r="11998" ht="15" customHeight="1"/>
    <row r="11999" ht="15" customHeight="1"/>
    <row r="12000" ht="15" customHeight="1"/>
    <row r="12001" ht="15" customHeight="1"/>
    <row r="12002" ht="15" customHeight="1"/>
    <row r="12003" ht="15" customHeight="1"/>
    <row r="12004" ht="15" customHeight="1"/>
    <row r="12005" ht="15" customHeight="1"/>
    <row r="12006" ht="15" customHeight="1"/>
    <row r="12007" ht="15" customHeight="1"/>
    <row r="12008" ht="15" customHeight="1"/>
    <row r="12009" ht="15" customHeight="1"/>
    <row r="12010" ht="15" customHeight="1"/>
    <row r="12011" ht="15" customHeight="1"/>
    <row r="12012" ht="15" customHeight="1"/>
    <row r="12013" ht="15" customHeight="1"/>
    <row r="12014" ht="15" customHeight="1"/>
    <row r="12015" ht="15" customHeight="1"/>
    <row r="12016" ht="15" customHeight="1"/>
    <row r="12017" ht="15" customHeight="1"/>
    <row r="12018" ht="15" customHeight="1"/>
    <row r="12019" ht="15" customHeight="1"/>
    <row r="12020" ht="15" customHeight="1"/>
    <row r="12021" ht="15" customHeight="1"/>
    <row r="12022" ht="15" customHeight="1"/>
    <row r="12023" ht="15" customHeight="1"/>
    <row r="12024" ht="15" customHeight="1"/>
    <row r="12025" ht="15" customHeight="1"/>
    <row r="12026" ht="15" customHeight="1"/>
    <row r="12027" ht="15" customHeight="1"/>
    <row r="12028" ht="15" customHeight="1"/>
    <row r="12029" ht="15" customHeight="1"/>
    <row r="12030" ht="15" customHeight="1"/>
    <row r="12031" ht="15" customHeight="1"/>
    <row r="12032" ht="15" customHeight="1"/>
    <row r="12033" ht="15" customHeight="1"/>
    <row r="12034" ht="15" customHeight="1"/>
    <row r="12035" ht="15" customHeight="1"/>
    <row r="12036" ht="15" customHeight="1"/>
    <row r="12037" ht="15" customHeight="1"/>
    <row r="12038" ht="15" customHeight="1"/>
    <row r="12039" ht="15" customHeight="1"/>
    <row r="12040" ht="15" customHeight="1"/>
    <row r="12041" ht="15" customHeight="1"/>
    <row r="12042" ht="15" customHeight="1"/>
    <row r="12043" ht="15" customHeight="1"/>
    <row r="12044" ht="15" customHeight="1"/>
    <row r="12045" ht="15" customHeight="1"/>
    <row r="12046" ht="15" customHeight="1"/>
    <row r="12047" ht="15" customHeight="1"/>
    <row r="12048" ht="15" customHeight="1"/>
    <row r="12049" ht="15" customHeight="1"/>
    <row r="12050" ht="15" customHeight="1"/>
    <row r="12051" ht="15" customHeight="1"/>
    <row r="12052" ht="15" customHeight="1"/>
    <row r="12053" ht="15" customHeight="1"/>
    <row r="12054" ht="15" customHeight="1"/>
    <row r="12055" ht="15" customHeight="1"/>
    <row r="12056" ht="15" customHeight="1"/>
    <row r="12057" ht="15" customHeight="1"/>
    <row r="12058" ht="15" customHeight="1"/>
    <row r="12059" ht="15" customHeight="1"/>
    <row r="12060" ht="15" customHeight="1"/>
    <row r="12061" ht="15" customHeight="1"/>
    <row r="12062" ht="15" customHeight="1"/>
    <row r="12063" ht="15" customHeight="1"/>
    <row r="12064" ht="15" customHeight="1"/>
    <row r="12065" ht="15" customHeight="1"/>
    <row r="12066" ht="15" customHeight="1"/>
    <row r="12067" ht="15" customHeight="1"/>
    <row r="12068" ht="15" customHeight="1"/>
    <row r="12069" ht="15" customHeight="1"/>
    <row r="12070" ht="15" customHeight="1"/>
    <row r="12071" ht="15" customHeight="1"/>
    <row r="12072" ht="15" customHeight="1"/>
    <row r="12073" ht="15" customHeight="1"/>
    <row r="12074" ht="15" customHeight="1"/>
    <row r="12075" ht="15" customHeight="1"/>
    <row r="12076" ht="15" customHeight="1"/>
    <row r="12077" ht="15" customHeight="1"/>
    <row r="12078" ht="15" customHeight="1"/>
    <row r="12079" ht="15" customHeight="1"/>
    <row r="12080" ht="15" customHeight="1"/>
    <row r="12081" ht="15" customHeight="1"/>
    <row r="12082" ht="15" customHeight="1"/>
    <row r="12083" ht="15" customHeight="1"/>
    <row r="12084" ht="15" customHeight="1"/>
    <row r="12085" ht="15" customHeight="1"/>
    <row r="12086" ht="15" customHeight="1"/>
    <row r="12087" ht="15" customHeight="1"/>
    <row r="12088" ht="15" customHeight="1"/>
    <row r="12089" ht="15" customHeight="1"/>
    <row r="12090" ht="15" customHeight="1"/>
    <row r="12091" ht="15" customHeight="1"/>
    <row r="12092" ht="15" customHeight="1"/>
    <row r="12093" ht="15" customHeight="1"/>
    <row r="12094" ht="15" customHeight="1"/>
    <row r="12095" ht="15" customHeight="1"/>
    <row r="12096" ht="15" customHeight="1"/>
    <row r="12097" ht="15" customHeight="1"/>
    <row r="12098" ht="15" customHeight="1"/>
    <row r="12099" ht="15" customHeight="1"/>
    <row r="12100" ht="15" customHeight="1"/>
    <row r="12101" ht="15" customHeight="1"/>
    <row r="12102" ht="15" customHeight="1"/>
    <row r="12103" ht="15" customHeight="1"/>
    <row r="12104" ht="15" customHeight="1"/>
    <row r="12105" ht="15" customHeight="1"/>
    <row r="12106" ht="15" customHeight="1"/>
    <row r="12107" ht="15" customHeight="1"/>
    <row r="12108" ht="15" customHeight="1"/>
    <row r="12109" ht="15" customHeight="1"/>
    <row r="12110" ht="15" customHeight="1"/>
    <row r="12111" ht="15" customHeight="1"/>
    <row r="12112" ht="15" customHeight="1"/>
    <row r="12113" ht="15" customHeight="1"/>
    <row r="12114" ht="15" customHeight="1"/>
    <row r="12115" ht="15" customHeight="1"/>
    <row r="12116" ht="15" customHeight="1"/>
    <row r="12117" ht="15" customHeight="1"/>
    <row r="12118" ht="15" customHeight="1"/>
    <row r="12119" ht="15" customHeight="1"/>
    <row r="12120" ht="15" customHeight="1"/>
    <row r="12121" ht="15" customHeight="1"/>
    <row r="12122" ht="15" customHeight="1"/>
    <row r="12123" ht="15" customHeight="1"/>
    <row r="12124" ht="15" customHeight="1"/>
    <row r="12125" ht="15" customHeight="1"/>
    <row r="12126" ht="15" customHeight="1"/>
    <row r="12127" ht="15" customHeight="1"/>
    <row r="12128" ht="15" customHeight="1"/>
    <row r="12129" ht="15" customHeight="1"/>
    <row r="12130" ht="15" customHeight="1"/>
    <row r="12131" ht="15" customHeight="1"/>
    <row r="12132" ht="15" customHeight="1"/>
    <row r="12133" ht="15" customHeight="1"/>
    <row r="12134" ht="15" customHeight="1"/>
    <row r="12135" ht="15" customHeight="1"/>
    <row r="12136" ht="15" customHeight="1"/>
    <row r="12137" ht="15" customHeight="1"/>
    <row r="12138" ht="15" customHeight="1"/>
    <row r="12139" ht="15" customHeight="1"/>
    <row r="12140" ht="15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15" customHeight="1"/>
    <row r="12161" ht="15" customHeight="1"/>
    <row r="12162" ht="15" customHeight="1"/>
    <row r="12163" ht="15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  <row r="12218" ht="15" customHeight="1"/>
    <row r="12219" ht="15" customHeight="1"/>
    <row r="12220" ht="15" customHeight="1"/>
    <row r="12221" ht="15" customHeight="1"/>
    <row r="12222" ht="15" customHeight="1"/>
    <row r="12223" ht="15" customHeight="1"/>
    <row r="12224" ht="15" customHeight="1"/>
    <row r="12225" ht="15" customHeight="1"/>
    <row r="12226" ht="15" customHeight="1"/>
    <row r="12227" ht="15" customHeight="1"/>
    <row r="12228" ht="15" customHeight="1"/>
    <row r="12229" ht="15" customHeight="1"/>
    <row r="12230" ht="15" customHeight="1"/>
    <row r="12231" ht="15" customHeight="1"/>
    <row r="12232" ht="15" customHeight="1"/>
    <row r="12233" ht="15" customHeight="1"/>
    <row r="12234" ht="15" customHeight="1"/>
    <row r="12235" ht="15" customHeight="1"/>
    <row r="12236" ht="15" customHeight="1"/>
    <row r="12237" ht="15" customHeight="1"/>
    <row r="12238" ht="15" customHeight="1"/>
    <row r="12239" ht="15" customHeight="1"/>
    <row r="12240" ht="15" customHeight="1"/>
    <row r="12241" ht="15" customHeight="1"/>
    <row r="12242" ht="15" customHeight="1"/>
    <row r="12243" ht="15" customHeight="1"/>
    <row r="12244" ht="15" customHeight="1"/>
    <row r="12245" ht="15" customHeight="1"/>
    <row r="12246" ht="15" customHeight="1"/>
    <row r="12247" ht="15" customHeight="1"/>
    <row r="12248" ht="15" customHeight="1"/>
    <row r="12249" ht="15" customHeight="1"/>
    <row r="12250" ht="15" customHeight="1"/>
    <row r="12251" ht="15" customHeight="1"/>
    <row r="12252" ht="15" customHeight="1"/>
    <row r="12253" ht="15" customHeight="1"/>
    <row r="12254" ht="15" customHeight="1"/>
    <row r="12255" ht="15" customHeight="1"/>
    <row r="12256" ht="15" customHeight="1"/>
    <row r="12257" ht="15" customHeight="1"/>
    <row r="12258" ht="15" customHeight="1"/>
    <row r="12259" ht="15" customHeight="1"/>
    <row r="12260" ht="15" customHeight="1"/>
    <row r="12261" ht="15" customHeight="1"/>
    <row r="12262" ht="15" customHeight="1"/>
    <row r="12263" ht="15" customHeight="1"/>
    <row r="12264" ht="15" customHeight="1"/>
    <row r="12265" ht="15" customHeight="1"/>
    <row r="12266" ht="15" customHeight="1"/>
    <row r="12267" ht="15" customHeight="1"/>
    <row r="12268" ht="15" customHeight="1"/>
    <row r="12269" ht="15" customHeight="1"/>
    <row r="12270" ht="15" customHeight="1"/>
    <row r="12271" ht="15" customHeight="1"/>
    <row r="12272" ht="15" customHeight="1"/>
    <row r="12273" ht="15" customHeight="1"/>
    <row r="12274" ht="15" customHeight="1"/>
    <row r="12275" ht="15" customHeight="1"/>
    <row r="12276" ht="15" customHeight="1"/>
    <row r="12277" ht="15" customHeight="1"/>
    <row r="12278" ht="15" customHeight="1"/>
    <row r="12279" ht="15" customHeight="1"/>
    <row r="12280" ht="15" customHeight="1"/>
    <row r="12281" ht="15" customHeight="1"/>
    <row r="12282" ht="15" customHeight="1"/>
    <row r="12283" ht="15" customHeight="1"/>
    <row r="12284" ht="15" customHeight="1"/>
    <row r="12285" ht="15" customHeight="1"/>
    <row r="12286" ht="15" customHeight="1"/>
    <row r="12287" ht="15" customHeight="1"/>
    <row r="12288" ht="15" customHeight="1"/>
    <row r="12289" ht="15" customHeight="1"/>
    <row r="12290" ht="15" customHeight="1"/>
    <row r="12291" ht="15" customHeight="1"/>
    <row r="12292" ht="15" customHeight="1"/>
    <row r="12293" ht="15" customHeight="1"/>
    <row r="12294" ht="15" customHeight="1"/>
    <row r="12295" ht="15" customHeight="1"/>
    <row r="12296" ht="15" customHeight="1"/>
    <row r="12297" ht="15" customHeight="1"/>
    <row r="12298" ht="15" customHeight="1"/>
    <row r="12299" ht="15" customHeight="1"/>
    <row r="12300" ht="15" customHeight="1"/>
    <row r="12301" ht="15" customHeight="1"/>
    <row r="12302" ht="15" customHeight="1"/>
    <row r="12303" ht="15" customHeight="1"/>
    <row r="12304" ht="15" customHeight="1"/>
    <row r="12305" ht="15" customHeight="1"/>
    <row r="12306" ht="15" customHeight="1"/>
    <row r="12307" ht="15" customHeight="1"/>
    <row r="12308" ht="15" customHeight="1"/>
    <row r="12309" ht="15" customHeight="1"/>
    <row r="12310" ht="15" customHeight="1"/>
    <row r="12311" ht="15" customHeight="1"/>
    <row r="12312" ht="15" customHeight="1"/>
    <row r="12313" ht="15" customHeight="1"/>
    <row r="12314" ht="15" customHeight="1"/>
    <row r="12315" ht="15" customHeight="1"/>
    <row r="12316" ht="15" customHeight="1"/>
    <row r="12317" ht="15" customHeight="1"/>
    <row r="12318" ht="15" customHeight="1"/>
    <row r="12319" ht="15" customHeight="1"/>
    <row r="12320" ht="15" customHeight="1"/>
    <row r="12321" ht="15" customHeight="1"/>
    <row r="12322" ht="15" customHeight="1"/>
    <row r="12323" ht="15" customHeight="1"/>
    <row r="12324" ht="15" customHeight="1"/>
    <row r="12325" ht="15" customHeight="1"/>
    <row r="12326" ht="15" customHeight="1"/>
    <row r="12327" ht="15" customHeight="1"/>
    <row r="12328" ht="15" customHeight="1"/>
    <row r="12329" ht="15" customHeight="1"/>
    <row r="12330" ht="15" customHeight="1"/>
    <row r="12331" ht="15" customHeight="1"/>
    <row r="12332" ht="15" customHeight="1"/>
    <row r="12333" ht="15" customHeight="1"/>
    <row r="12334" ht="15" customHeight="1"/>
    <row r="12335" ht="15" customHeight="1"/>
    <row r="12336" ht="15" customHeight="1"/>
    <row r="12337" ht="15" customHeight="1"/>
    <row r="12338" ht="15" customHeight="1"/>
    <row r="12339" ht="15" customHeight="1"/>
    <row r="12340" ht="15" customHeight="1"/>
    <row r="12341" ht="15" customHeight="1"/>
    <row r="12342" ht="15" customHeight="1"/>
    <row r="12343" ht="15" customHeight="1"/>
    <row r="12344" ht="15" customHeight="1"/>
    <row r="12345" ht="15" customHeight="1"/>
    <row r="12346" ht="15" customHeight="1"/>
    <row r="12347" ht="15" customHeight="1"/>
    <row r="12348" ht="15" customHeight="1"/>
    <row r="12349" ht="15" customHeight="1"/>
    <row r="12350" ht="15" customHeight="1"/>
    <row r="12351" ht="15" customHeight="1"/>
    <row r="12352" ht="15" customHeight="1"/>
    <row r="12353" ht="15" customHeight="1"/>
    <row r="12354" ht="15" customHeight="1"/>
    <row r="12355" ht="15" customHeight="1"/>
    <row r="12356" ht="15" customHeight="1"/>
    <row r="12357" ht="15" customHeight="1"/>
    <row r="12358" ht="15" customHeight="1"/>
    <row r="12359" ht="15" customHeight="1"/>
    <row r="12360" ht="15" customHeight="1"/>
    <row r="12361" ht="15" customHeight="1"/>
    <row r="12362" ht="15" customHeight="1"/>
    <row r="12363" ht="15" customHeight="1"/>
    <row r="12364" ht="15" customHeight="1"/>
    <row r="12365" ht="15" customHeight="1"/>
    <row r="12366" ht="15" customHeight="1"/>
    <row r="12367" ht="15" customHeight="1"/>
    <row r="12368" ht="15" customHeight="1"/>
    <row r="12369" ht="15" customHeight="1"/>
    <row r="12370" ht="15" customHeight="1"/>
    <row r="12371" ht="15" customHeight="1"/>
    <row r="12372" ht="15" customHeight="1"/>
    <row r="12373" ht="15" customHeight="1"/>
    <row r="12374" ht="15" customHeight="1"/>
    <row r="12375" ht="15" customHeight="1"/>
    <row r="12376" ht="15" customHeight="1"/>
    <row r="12377" ht="15" customHeight="1"/>
    <row r="12378" ht="15" customHeight="1"/>
    <row r="12379" ht="15" customHeight="1"/>
    <row r="12380" ht="15" customHeight="1"/>
    <row r="12381" ht="15" customHeight="1"/>
    <row r="12382" ht="15" customHeight="1"/>
    <row r="12383" ht="15" customHeight="1"/>
    <row r="12384" ht="15" customHeight="1"/>
    <row r="12385" ht="15" customHeight="1"/>
    <row r="12386" ht="15" customHeight="1"/>
    <row r="12387" ht="15" customHeight="1"/>
    <row r="12388" ht="15" customHeight="1"/>
    <row r="12389" ht="15" customHeight="1"/>
    <row r="12390" ht="15" customHeight="1"/>
    <row r="12391" ht="15" customHeight="1"/>
    <row r="12392" ht="15" customHeight="1"/>
    <row r="12393" ht="15" customHeight="1"/>
    <row r="12394" ht="15" customHeight="1"/>
    <row r="12395" ht="15" customHeight="1"/>
    <row r="12396" ht="15" customHeight="1"/>
    <row r="12397" ht="15" customHeight="1"/>
    <row r="12398" ht="15" customHeight="1"/>
    <row r="12399" ht="15" customHeight="1"/>
    <row r="12400" ht="15" customHeight="1"/>
    <row r="12401" ht="15" customHeight="1"/>
    <row r="12402" ht="15" customHeight="1"/>
    <row r="12403" ht="15" customHeight="1"/>
    <row r="12404" ht="15" customHeight="1"/>
    <row r="12405" ht="15" customHeight="1"/>
    <row r="12406" ht="15" customHeight="1"/>
    <row r="12407" ht="15" customHeight="1"/>
    <row r="12408" ht="15" customHeight="1"/>
    <row r="12409" ht="15" customHeight="1"/>
    <row r="12410" ht="15" customHeight="1"/>
    <row r="12411" ht="15" customHeight="1"/>
    <row r="12412" ht="15" customHeight="1"/>
    <row r="12413" ht="15" customHeight="1"/>
    <row r="12414" ht="15" customHeight="1"/>
    <row r="12415" ht="15" customHeight="1"/>
    <row r="12416" ht="15" customHeight="1"/>
    <row r="12417" ht="15" customHeight="1"/>
    <row r="12418" ht="15" customHeight="1"/>
    <row r="12419" ht="15" customHeight="1"/>
    <row r="12420" ht="15" customHeight="1"/>
    <row r="12421" ht="15" customHeight="1"/>
    <row r="12422" ht="15" customHeight="1"/>
    <row r="12423" ht="15" customHeight="1"/>
    <row r="12424" ht="15" customHeight="1"/>
    <row r="12425" ht="15" customHeight="1"/>
    <row r="12426" ht="15" customHeight="1"/>
    <row r="12427" ht="15" customHeight="1"/>
    <row r="12428" ht="15" customHeight="1"/>
    <row r="12429" ht="15" customHeight="1"/>
    <row r="12430" ht="15" customHeight="1"/>
    <row r="12431" ht="15" customHeight="1"/>
    <row r="12432" ht="15" customHeight="1"/>
    <row r="12433" ht="15" customHeight="1"/>
    <row r="12434" ht="15" customHeight="1"/>
    <row r="12435" ht="15" customHeight="1"/>
    <row r="12436" ht="15" customHeight="1"/>
    <row r="12437" ht="15" customHeight="1"/>
    <row r="12438" ht="15" customHeight="1"/>
    <row r="12439" ht="15" customHeight="1"/>
    <row r="12440" ht="15" customHeight="1"/>
    <row r="12441" ht="15" customHeight="1"/>
    <row r="12442" ht="15" customHeight="1"/>
    <row r="12443" ht="15" customHeight="1"/>
    <row r="12444" ht="15" customHeight="1"/>
    <row r="12445" ht="15" customHeight="1"/>
    <row r="12446" ht="15" customHeight="1"/>
    <row r="12447" ht="15" customHeight="1"/>
    <row r="12448" ht="15" customHeight="1"/>
    <row r="12449" ht="15" customHeight="1"/>
    <row r="12450" ht="15" customHeight="1"/>
    <row r="12451" ht="15" customHeight="1"/>
    <row r="12452" ht="15" customHeight="1"/>
    <row r="12453" ht="15" customHeight="1"/>
    <row r="12454" ht="15" customHeight="1"/>
    <row r="12455" ht="15" customHeight="1"/>
    <row r="12456" ht="15" customHeight="1"/>
    <row r="12457" ht="15" customHeight="1"/>
    <row r="12458" ht="15" customHeight="1"/>
    <row r="12459" ht="15" customHeight="1"/>
    <row r="12460" ht="15" customHeight="1"/>
    <row r="12461" ht="15" customHeight="1"/>
    <row r="12462" ht="15" customHeight="1"/>
    <row r="12463" ht="15" customHeight="1"/>
    <row r="12464" ht="15" customHeight="1"/>
    <row r="12465" ht="15" customHeight="1"/>
    <row r="12466" ht="15" customHeight="1"/>
    <row r="12467" ht="15" customHeight="1"/>
    <row r="12468" ht="15" customHeight="1"/>
    <row r="12469" ht="15" customHeight="1"/>
    <row r="12470" ht="15" customHeight="1"/>
    <row r="12471" ht="15" customHeight="1"/>
    <row r="12472" ht="15" customHeight="1"/>
    <row r="12473" ht="15" customHeight="1"/>
    <row r="12474" ht="15" customHeight="1"/>
    <row r="12475" ht="15" customHeight="1"/>
    <row r="12476" ht="15" customHeight="1"/>
    <row r="12477" ht="15" customHeight="1"/>
    <row r="12478" ht="15" customHeight="1"/>
    <row r="12479" ht="15" customHeight="1"/>
    <row r="12480" ht="15" customHeight="1"/>
    <row r="12481" ht="15" customHeight="1"/>
    <row r="12482" ht="15" customHeight="1"/>
    <row r="12483" ht="15" customHeight="1"/>
    <row r="12484" ht="15" customHeight="1"/>
    <row r="12485" ht="15" customHeight="1"/>
    <row r="12486" ht="15" customHeight="1"/>
    <row r="12487" ht="15" customHeight="1"/>
    <row r="12488" ht="15" customHeight="1"/>
    <row r="12489" ht="15" customHeight="1"/>
    <row r="12490" ht="15" customHeight="1"/>
    <row r="12491" ht="15" customHeight="1"/>
    <row r="12492" ht="15" customHeight="1"/>
    <row r="12493" ht="15" customHeight="1"/>
    <row r="12494" ht="15" customHeight="1"/>
    <row r="12495" ht="15" customHeight="1"/>
    <row r="12496" ht="15" customHeight="1"/>
    <row r="12497" ht="15" customHeight="1"/>
    <row r="12498" ht="15" customHeight="1"/>
    <row r="12499" ht="15" customHeight="1"/>
    <row r="12500" ht="15" customHeight="1"/>
    <row r="12501" ht="15" customHeight="1"/>
    <row r="12502" ht="15" customHeight="1"/>
    <row r="12503" ht="15" customHeight="1"/>
    <row r="12504" ht="15" customHeight="1"/>
    <row r="12505" ht="15" customHeight="1"/>
    <row r="12506" ht="15" customHeight="1"/>
    <row r="12507" ht="15" customHeight="1"/>
    <row r="12508" ht="15" customHeight="1"/>
    <row r="12509" ht="15" customHeight="1"/>
    <row r="12510" ht="15" customHeight="1"/>
    <row r="12511" ht="15" customHeight="1"/>
    <row r="12512" ht="15" customHeight="1"/>
    <row r="12513" ht="15" customHeight="1"/>
    <row r="12514" ht="15" customHeight="1"/>
    <row r="12515" ht="15" customHeight="1"/>
    <row r="12516" ht="15" customHeight="1"/>
    <row r="12517" ht="15" customHeight="1"/>
    <row r="12518" ht="15" customHeight="1"/>
    <row r="12519" ht="15" customHeight="1"/>
    <row r="12520" ht="15" customHeight="1"/>
    <row r="12521" ht="15" customHeight="1"/>
    <row r="12522" ht="15" customHeight="1"/>
    <row r="12523" ht="15" customHeight="1"/>
    <row r="12524" ht="15" customHeight="1"/>
    <row r="12525" ht="15" customHeight="1"/>
    <row r="12526" ht="15" customHeight="1"/>
    <row r="12527" ht="15" customHeight="1"/>
    <row r="12528" ht="15" customHeight="1"/>
    <row r="12529" ht="15" customHeight="1"/>
    <row r="12530" ht="15" customHeight="1"/>
    <row r="12531" ht="15" customHeight="1"/>
    <row r="12532" ht="15" customHeight="1"/>
    <row r="12533" ht="15" customHeight="1"/>
    <row r="12534" ht="15" customHeight="1"/>
    <row r="12535" ht="15" customHeight="1"/>
    <row r="12536" ht="15" customHeight="1"/>
    <row r="12537" ht="15" customHeight="1"/>
    <row r="12538" ht="15" customHeight="1"/>
    <row r="12539" ht="15" customHeight="1"/>
    <row r="12540" ht="15" customHeight="1"/>
    <row r="12541" ht="15" customHeight="1"/>
    <row r="12542" ht="15" customHeight="1"/>
    <row r="12543" ht="15" customHeight="1"/>
    <row r="12544" ht="15" customHeight="1"/>
    <row r="12545" ht="15" customHeight="1"/>
    <row r="12546" ht="15" customHeight="1"/>
    <row r="12547" ht="15" customHeight="1"/>
    <row r="12548" ht="15" customHeight="1"/>
    <row r="12549" ht="15" customHeight="1"/>
    <row r="12550" ht="15" customHeight="1"/>
    <row r="12551" ht="15" customHeight="1"/>
    <row r="12552" ht="15" customHeight="1"/>
    <row r="12553" ht="15" customHeight="1"/>
    <row r="12554" ht="15" customHeight="1"/>
    <row r="12555" ht="15" customHeight="1"/>
    <row r="12556" ht="15" customHeight="1"/>
    <row r="12557" ht="15" customHeight="1"/>
    <row r="12558" ht="15" customHeight="1"/>
    <row r="12559" ht="15" customHeight="1"/>
    <row r="12560" ht="15" customHeight="1"/>
    <row r="12561" ht="15" customHeight="1"/>
    <row r="12562" ht="15" customHeight="1"/>
    <row r="12563" ht="15" customHeight="1"/>
    <row r="12564" ht="15" customHeight="1"/>
    <row r="12565" ht="15" customHeight="1"/>
    <row r="12566" ht="15" customHeight="1"/>
    <row r="12567" ht="15" customHeight="1"/>
    <row r="12568" ht="15" customHeight="1"/>
    <row r="12569" ht="15" customHeight="1"/>
    <row r="12570" ht="15" customHeight="1"/>
    <row r="12571" ht="15" customHeight="1"/>
    <row r="12572" ht="15" customHeight="1"/>
    <row r="12573" ht="15" customHeight="1"/>
    <row r="12574" ht="15" customHeight="1"/>
    <row r="12575" ht="15" customHeight="1"/>
    <row r="12576" ht="15" customHeight="1"/>
    <row r="12577" ht="15" customHeight="1"/>
    <row r="12578" ht="15" customHeight="1"/>
    <row r="12579" ht="15" customHeight="1"/>
    <row r="12580" ht="15" customHeight="1"/>
    <row r="12581" ht="15" customHeight="1"/>
    <row r="12582" ht="15" customHeight="1"/>
    <row r="12583" ht="15" customHeight="1"/>
    <row r="12584" ht="15" customHeight="1"/>
    <row r="12585" ht="15" customHeight="1"/>
    <row r="12586" ht="15" customHeight="1"/>
    <row r="12587" ht="15" customHeight="1"/>
    <row r="12588" ht="15" customHeight="1"/>
    <row r="12589" ht="15" customHeight="1"/>
    <row r="12590" ht="15" customHeight="1"/>
    <row r="12591" ht="15" customHeight="1"/>
    <row r="12592" ht="15" customHeight="1"/>
    <row r="12593" ht="15" customHeight="1"/>
    <row r="12594" ht="15" customHeight="1"/>
    <row r="12595" ht="15" customHeight="1"/>
    <row r="12596" ht="15" customHeight="1"/>
    <row r="12597" ht="15" customHeight="1"/>
    <row r="12598" ht="15" customHeight="1"/>
    <row r="12599" ht="15" customHeight="1"/>
    <row r="12600" ht="15" customHeight="1"/>
    <row r="12601" ht="15" customHeight="1"/>
    <row r="12602" ht="15" customHeight="1"/>
    <row r="12603" ht="15" customHeight="1"/>
    <row r="12604" ht="15" customHeight="1"/>
    <row r="12605" ht="15" customHeight="1"/>
    <row r="12606" ht="15" customHeight="1"/>
    <row r="12607" ht="15" customHeight="1"/>
    <row r="12608" ht="15" customHeight="1"/>
    <row r="12609" ht="15" customHeight="1"/>
    <row r="12610" ht="15" customHeight="1"/>
    <row r="12611" ht="15" customHeight="1"/>
    <row r="12612" ht="15" customHeight="1"/>
    <row r="12613" ht="15" customHeight="1"/>
    <row r="12614" ht="15" customHeight="1"/>
    <row r="12615" ht="15" customHeight="1"/>
    <row r="12616" ht="15" customHeight="1"/>
    <row r="12617" ht="15" customHeight="1"/>
    <row r="12618" ht="15" customHeight="1"/>
    <row r="12619" ht="15" customHeight="1"/>
    <row r="12620" ht="15" customHeight="1"/>
    <row r="12621" ht="15" customHeight="1"/>
    <row r="12622" ht="15" customHeight="1"/>
    <row r="12623" ht="15" customHeight="1"/>
    <row r="12624" ht="15" customHeight="1"/>
    <row r="12625" ht="15" customHeight="1"/>
    <row r="12626" ht="15" customHeight="1"/>
    <row r="12627" ht="15" customHeight="1"/>
    <row r="12628" ht="15" customHeight="1"/>
    <row r="12629" ht="15" customHeight="1"/>
    <row r="12630" ht="15" customHeight="1"/>
    <row r="12631" ht="15" customHeight="1"/>
    <row r="12632" ht="15" customHeight="1"/>
    <row r="12633" ht="15" customHeight="1"/>
    <row r="12634" ht="15" customHeight="1"/>
    <row r="12635" ht="15" customHeight="1"/>
    <row r="12636" ht="15" customHeight="1"/>
    <row r="12637" ht="15" customHeight="1"/>
    <row r="12638" ht="15" customHeight="1"/>
    <row r="12639" ht="15" customHeight="1"/>
    <row r="12640" ht="15" customHeight="1"/>
    <row r="12641" ht="15" customHeight="1"/>
    <row r="12642" ht="15" customHeight="1"/>
    <row r="12643" ht="15" customHeight="1"/>
    <row r="12644" ht="15" customHeight="1"/>
    <row r="12645" ht="15" customHeight="1"/>
    <row r="12646" ht="15" customHeight="1"/>
    <row r="12647" ht="15" customHeight="1"/>
    <row r="12648" ht="15" customHeight="1"/>
    <row r="12649" ht="15" customHeight="1"/>
    <row r="12650" ht="15" customHeight="1"/>
    <row r="12651" ht="15" customHeight="1"/>
    <row r="12652" ht="15" customHeight="1"/>
    <row r="12653" ht="15" customHeight="1"/>
    <row r="12654" ht="15" customHeight="1"/>
    <row r="12655" ht="15" customHeight="1"/>
    <row r="12656" ht="15" customHeight="1"/>
    <row r="12657" ht="15" customHeight="1"/>
    <row r="12658" ht="15" customHeight="1"/>
    <row r="12659" ht="15" customHeight="1"/>
    <row r="12660" ht="15" customHeight="1"/>
    <row r="12661" ht="15" customHeight="1"/>
    <row r="12662" ht="15" customHeight="1"/>
    <row r="12663" ht="15" customHeight="1"/>
    <row r="12664" ht="15" customHeight="1"/>
    <row r="12665" ht="15" customHeight="1"/>
    <row r="12666" ht="15" customHeight="1"/>
    <row r="12667" ht="15" customHeight="1"/>
    <row r="12668" ht="15" customHeight="1"/>
    <row r="12669" ht="15" customHeight="1"/>
    <row r="12670" ht="15" customHeight="1"/>
    <row r="12671" ht="15" customHeight="1"/>
    <row r="12672" ht="15" customHeight="1"/>
    <row r="12673" ht="15" customHeight="1"/>
    <row r="12674" ht="15" customHeight="1"/>
    <row r="12675" ht="15" customHeight="1"/>
    <row r="12676" ht="15" customHeight="1"/>
    <row r="12677" ht="15" customHeight="1"/>
    <row r="12678" ht="15" customHeight="1"/>
    <row r="12679" ht="15" customHeight="1"/>
    <row r="12680" ht="15" customHeight="1"/>
    <row r="12681" ht="15" customHeight="1"/>
    <row r="12682" ht="15" customHeight="1"/>
    <row r="12683" ht="15" customHeight="1"/>
    <row r="12684" ht="15" customHeight="1"/>
    <row r="12685" ht="15" customHeight="1"/>
    <row r="12686" ht="15" customHeight="1"/>
    <row r="12687" ht="15" customHeight="1"/>
    <row r="12688" ht="15" customHeight="1"/>
    <row r="12689" ht="15" customHeight="1"/>
    <row r="12690" ht="15" customHeight="1"/>
    <row r="12691" ht="15" customHeight="1"/>
    <row r="12692" ht="15" customHeight="1"/>
    <row r="12693" ht="15" customHeight="1"/>
    <row r="12694" ht="15" customHeight="1"/>
    <row r="12695" ht="15" customHeight="1"/>
    <row r="12696" ht="15" customHeight="1"/>
    <row r="12697" ht="15" customHeight="1"/>
    <row r="12698" ht="15" customHeight="1"/>
    <row r="12699" ht="15" customHeight="1"/>
    <row r="12700" ht="15" customHeight="1"/>
    <row r="12701" ht="15" customHeight="1"/>
    <row r="12702" ht="15" customHeight="1"/>
    <row r="12703" ht="15" customHeight="1"/>
    <row r="12704" ht="15" customHeight="1"/>
    <row r="12705" ht="15" customHeight="1"/>
    <row r="12706" ht="15" customHeight="1"/>
    <row r="12707" ht="15" customHeight="1"/>
    <row r="12708" ht="15" customHeight="1"/>
    <row r="12709" ht="15" customHeight="1"/>
    <row r="12710" ht="15" customHeight="1"/>
    <row r="12711" ht="15" customHeight="1"/>
    <row r="12712" ht="15" customHeight="1"/>
    <row r="12713" ht="15" customHeight="1"/>
    <row r="12714" ht="15" customHeight="1"/>
    <row r="12715" ht="15" customHeight="1"/>
    <row r="12716" ht="15" customHeight="1"/>
    <row r="12717" ht="15" customHeight="1"/>
    <row r="12718" ht="15" customHeight="1"/>
    <row r="12719" ht="15" customHeight="1"/>
    <row r="12720" ht="15" customHeight="1"/>
    <row r="12721" ht="15" customHeight="1"/>
    <row r="12722" ht="15" customHeight="1"/>
    <row r="12723" ht="15" customHeight="1"/>
    <row r="12724" ht="15" customHeight="1"/>
    <row r="12725" ht="15" customHeight="1"/>
    <row r="12726" ht="15" customHeight="1"/>
    <row r="12727" ht="15" customHeight="1"/>
    <row r="12728" ht="15" customHeight="1"/>
    <row r="12729" ht="15" customHeight="1"/>
    <row r="12730" ht="15" customHeight="1"/>
    <row r="12731" ht="15" customHeight="1"/>
    <row r="12732" ht="15" customHeight="1"/>
    <row r="12733" ht="15" customHeight="1"/>
    <row r="12734" ht="15" customHeight="1"/>
    <row r="12735" ht="15" customHeight="1"/>
    <row r="12736" ht="15" customHeight="1"/>
    <row r="12737" ht="15" customHeight="1"/>
    <row r="12738" ht="15" customHeight="1"/>
    <row r="12739" ht="15" customHeight="1"/>
    <row r="12740" ht="15" customHeight="1"/>
    <row r="12741" ht="15" customHeight="1"/>
    <row r="12742" ht="15" customHeight="1"/>
    <row r="12743" ht="15" customHeight="1"/>
    <row r="12744" ht="15" customHeight="1"/>
    <row r="12745" ht="15" customHeight="1"/>
    <row r="12746" ht="15" customHeight="1"/>
    <row r="12747" ht="15" customHeight="1"/>
    <row r="12748" ht="15" customHeight="1"/>
    <row r="12749" ht="15" customHeight="1"/>
    <row r="12750" ht="15" customHeight="1"/>
    <row r="12751" ht="15" customHeight="1"/>
    <row r="12752" ht="15" customHeight="1"/>
    <row r="12753" ht="15" customHeight="1"/>
    <row r="12754" ht="15" customHeight="1"/>
    <row r="12755" ht="15" customHeight="1"/>
    <row r="12756" ht="15" customHeight="1"/>
    <row r="12757" ht="15" customHeight="1"/>
    <row r="12758" ht="15" customHeight="1"/>
    <row r="12759" ht="15" customHeight="1"/>
    <row r="12760" ht="15" customHeight="1"/>
    <row r="12761" ht="15" customHeight="1"/>
    <row r="12762" ht="15" customHeight="1"/>
    <row r="12763" ht="15" customHeight="1"/>
    <row r="12764" ht="15" customHeight="1"/>
    <row r="12765" ht="15" customHeight="1"/>
    <row r="12766" ht="15" customHeight="1"/>
    <row r="12767" ht="15" customHeight="1"/>
    <row r="12768" ht="15" customHeight="1"/>
    <row r="12769" ht="15" customHeight="1"/>
    <row r="12770" ht="15" customHeight="1"/>
    <row r="12771" ht="15" customHeight="1"/>
    <row r="12772" ht="15" customHeight="1"/>
    <row r="12773" ht="15" customHeight="1"/>
    <row r="12774" ht="15" customHeight="1"/>
    <row r="12775" ht="15" customHeight="1"/>
    <row r="12776" ht="15" customHeight="1"/>
    <row r="12777" ht="15" customHeight="1"/>
    <row r="12778" ht="15" customHeight="1"/>
    <row r="12779" ht="15" customHeight="1"/>
    <row r="12780" ht="15" customHeight="1"/>
    <row r="12781" ht="15" customHeight="1"/>
    <row r="12782" ht="15" customHeight="1"/>
    <row r="12783" ht="15" customHeight="1"/>
    <row r="12784" ht="15" customHeight="1"/>
    <row r="12785" ht="15" customHeight="1"/>
    <row r="12786" ht="15" customHeight="1"/>
    <row r="12787" ht="15" customHeight="1"/>
    <row r="12788" ht="15" customHeight="1"/>
    <row r="12789" ht="15" customHeight="1"/>
    <row r="12790" ht="15" customHeight="1"/>
    <row r="12791" ht="15" customHeight="1"/>
    <row r="12792" ht="15" customHeight="1"/>
    <row r="12793" ht="15" customHeight="1"/>
    <row r="12794" ht="15" customHeight="1"/>
    <row r="12795" ht="15" customHeight="1"/>
    <row r="12796" ht="15" customHeight="1"/>
    <row r="12797" ht="15" customHeight="1"/>
    <row r="12798" ht="15" customHeight="1"/>
    <row r="12799" ht="15" customHeight="1"/>
    <row r="12800" ht="15" customHeight="1"/>
    <row r="12801" ht="15" customHeight="1"/>
    <row r="12802" ht="15" customHeight="1"/>
    <row r="12803" ht="15" customHeight="1"/>
    <row r="12804" ht="15" customHeight="1"/>
    <row r="12805" ht="15" customHeight="1"/>
    <row r="12806" ht="15" customHeight="1"/>
    <row r="12807" ht="15" customHeight="1"/>
    <row r="12808" ht="15" customHeight="1"/>
    <row r="12809" ht="15" customHeight="1"/>
    <row r="12810" ht="15" customHeight="1"/>
    <row r="12811" ht="15" customHeight="1"/>
    <row r="12812" ht="15" customHeight="1"/>
    <row r="12813" ht="15" customHeight="1"/>
    <row r="12814" ht="15" customHeight="1"/>
    <row r="12815" ht="15" customHeight="1"/>
    <row r="12816" ht="15" customHeight="1"/>
    <row r="12817" ht="15" customHeight="1"/>
    <row r="12818" ht="15" customHeight="1"/>
    <row r="12819" ht="15" customHeight="1"/>
    <row r="12820" ht="15" customHeight="1"/>
    <row r="12821" ht="15" customHeight="1"/>
    <row r="12822" ht="15" customHeight="1"/>
    <row r="12823" ht="15" customHeight="1"/>
    <row r="12824" ht="15" customHeight="1"/>
    <row r="12825" ht="15" customHeight="1"/>
    <row r="12826" ht="15" customHeight="1"/>
    <row r="12827" ht="15" customHeight="1"/>
    <row r="12828" ht="15" customHeight="1"/>
    <row r="12829" ht="15" customHeight="1"/>
    <row r="12830" ht="15" customHeight="1"/>
    <row r="12831" ht="15" customHeight="1"/>
    <row r="12832" ht="15" customHeight="1"/>
    <row r="12833" ht="15" customHeight="1"/>
    <row r="12834" ht="15" customHeight="1"/>
    <row r="12835" ht="15" customHeight="1"/>
    <row r="12836" ht="15" customHeight="1"/>
    <row r="12837" ht="15" customHeight="1"/>
    <row r="12838" ht="15" customHeight="1"/>
    <row r="12839" ht="15" customHeight="1"/>
    <row r="12840" ht="15" customHeight="1"/>
    <row r="12841" ht="15" customHeight="1"/>
    <row r="12842" ht="15" customHeight="1"/>
    <row r="12843" ht="15" customHeight="1"/>
    <row r="12844" ht="15" customHeight="1"/>
    <row r="12845" ht="15" customHeight="1"/>
    <row r="12846" ht="15" customHeight="1"/>
    <row r="12847" ht="15" customHeight="1"/>
    <row r="12848" ht="15" customHeight="1"/>
    <row r="12849" ht="15" customHeight="1"/>
    <row r="12850" ht="15" customHeight="1"/>
    <row r="12851" ht="15" customHeight="1"/>
    <row r="12852" ht="15" customHeight="1"/>
    <row r="12853" ht="15" customHeight="1"/>
    <row r="12854" ht="15" customHeight="1"/>
    <row r="12855" ht="15" customHeight="1"/>
    <row r="12856" ht="15" customHeight="1"/>
    <row r="12857" ht="15" customHeight="1"/>
    <row r="12858" ht="15" customHeight="1"/>
    <row r="12859" ht="15" customHeight="1"/>
    <row r="12860" ht="15" customHeight="1"/>
    <row r="12861" ht="15" customHeight="1"/>
    <row r="12862" ht="15" customHeight="1"/>
    <row r="12863" ht="15" customHeight="1"/>
    <row r="12864" ht="15" customHeight="1"/>
    <row r="12865" ht="15" customHeight="1"/>
    <row r="12866" ht="15" customHeight="1"/>
    <row r="12867" ht="15" customHeight="1"/>
    <row r="12868" ht="15" customHeight="1"/>
    <row r="12869" ht="15" customHeight="1"/>
    <row r="12870" ht="15" customHeight="1"/>
    <row r="12871" ht="15" customHeight="1"/>
    <row r="12872" ht="15" customHeight="1"/>
    <row r="12873" ht="15" customHeight="1"/>
    <row r="12874" ht="15" customHeight="1"/>
    <row r="12875" ht="15" customHeight="1"/>
    <row r="12876" ht="15" customHeight="1"/>
    <row r="12877" ht="15" customHeight="1"/>
    <row r="12878" ht="15" customHeight="1"/>
    <row r="12879" ht="15" customHeight="1"/>
    <row r="12880" ht="15" customHeight="1"/>
    <row r="12881" ht="15" customHeight="1"/>
    <row r="12882" ht="15" customHeight="1"/>
    <row r="12883" ht="15" customHeight="1"/>
    <row r="12884" ht="15" customHeight="1"/>
    <row r="12885" ht="15" customHeight="1"/>
    <row r="12886" ht="15" customHeight="1"/>
    <row r="12887" ht="15" customHeight="1"/>
    <row r="12888" ht="15" customHeight="1"/>
    <row r="12889" ht="15" customHeight="1"/>
    <row r="12890" ht="15" customHeight="1"/>
    <row r="12891" ht="15" customHeight="1"/>
    <row r="12892" ht="15" customHeight="1"/>
    <row r="12893" ht="15" customHeight="1"/>
    <row r="12894" ht="15" customHeight="1"/>
    <row r="12895" ht="15" customHeight="1"/>
    <row r="12896" ht="15" customHeight="1"/>
    <row r="12897" ht="15" customHeight="1"/>
    <row r="12898" ht="15" customHeight="1"/>
    <row r="12899" ht="15" customHeight="1"/>
    <row r="12900" ht="15" customHeight="1"/>
    <row r="12901" ht="15" customHeight="1"/>
    <row r="12902" ht="15" customHeight="1"/>
    <row r="12903" ht="15" customHeight="1"/>
    <row r="12904" ht="15" customHeight="1"/>
    <row r="12905" ht="15" customHeight="1"/>
    <row r="12906" ht="15" customHeight="1"/>
    <row r="12907" ht="15" customHeight="1"/>
    <row r="12908" ht="15" customHeight="1"/>
    <row r="12909" ht="15" customHeight="1"/>
    <row r="12910" ht="15" customHeight="1"/>
    <row r="12911" ht="15" customHeight="1"/>
    <row r="12912" ht="15" customHeight="1"/>
    <row r="12913" ht="15" customHeight="1"/>
    <row r="12914" ht="15" customHeight="1"/>
    <row r="12915" ht="15" customHeight="1"/>
    <row r="12916" ht="15" customHeight="1"/>
    <row r="12917" ht="15" customHeight="1"/>
    <row r="12918" ht="15" customHeight="1"/>
    <row r="12919" ht="15" customHeight="1"/>
    <row r="12920" ht="15" customHeight="1"/>
    <row r="12921" ht="15" customHeight="1"/>
    <row r="12922" ht="15" customHeight="1"/>
    <row r="12923" ht="15" customHeight="1"/>
    <row r="12924" ht="15" customHeight="1"/>
    <row r="12925" ht="15" customHeight="1"/>
    <row r="12926" ht="15" customHeight="1"/>
    <row r="12927" ht="15" customHeight="1"/>
    <row r="12928" ht="15" customHeight="1"/>
    <row r="12929" ht="15" customHeight="1"/>
    <row r="12930" ht="15" customHeight="1"/>
    <row r="12931" ht="15" customHeight="1"/>
    <row r="12932" ht="15" customHeight="1"/>
    <row r="12933" ht="15" customHeight="1"/>
    <row r="12934" ht="15" customHeight="1"/>
    <row r="12935" ht="15" customHeight="1"/>
    <row r="12936" ht="15" customHeight="1"/>
    <row r="12937" ht="15" customHeight="1"/>
    <row r="12938" ht="15" customHeight="1"/>
    <row r="12939" ht="15" customHeight="1"/>
    <row r="12940" ht="15" customHeight="1"/>
    <row r="12941" ht="15" customHeight="1"/>
    <row r="12942" ht="15" customHeight="1"/>
    <row r="12943" ht="15" customHeight="1"/>
    <row r="12944" ht="15" customHeight="1"/>
    <row r="12945" ht="15" customHeight="1"/>
    <row r="12946" ht="15" customHeight="1"/>
    <row r="12947" ht="15" customHeight="1"/>
    <row r="12948" ht="15" customHeight="1"/>
    <row r="12949" ht="15" customHeight="1"/>
    <row r="12950" ht="15" customHeight="1"/>
    <row r="12951" ht="15" customHeight="1"/>
    <row r="12952" ht="15" customHeight="1"/>
    <row r="12953" ht="15" customHeight="1"/>
    <row r="12954" ht="15" customHeight="1"/>
    <row r="12955" ht="15" customHeight="1"/>
    <row r="12956" ht="15" customHeight="1"/>
    <row r="12957" ht="15" customHeight="1"/>
    <row r="12958" ht="15" customHeight="1"/>
    <row r="12959" ht="15" customHeight="1"/>
    <row r="12960" ht="15" customHeight="1"/>
    <row r="12961" ht="15" customHeight="1"/>
    <row r="12962" ht="15" customHeight="1"/>
    <row r="12963" ht="15" customHeight="1"/>
    <row r="12964" ht="15" customHeight="1"/>
    <row r="12965" ht="15" customHeight="1"/>
    <row r="12966" ht="15" customHeight="1"/>
    <row r="12967" ht="15" customHeight="1"/>
    <row r="12968" ht="15" customHeight="1"/>
    <row r="12969" ht="15" customHeight="1"/>
    <row r="12970" ht="15" customHeight="1"/>
    <row r="12971" ht="15" customHeight="1"/>
    <row r="12972" ht="15" customHeight="1"/>
    <row r="12973" ht="15" customHeight="1"/>
    <row r="12974" ht="15" customHeight="1"/>
    <row r="12975" ht="15" customHeight="1"/>
    <row r="12976" ht="15" customHeight="1"/>
    <row r="12977" ht="15" customHeight="1"/>
    <row r="12978" ht="15" customHeight="1"/>
    <row r="12979" ht="15" customHeight="1"/>
    <row r="12980" ht="15" customHeight="1"/>
    <row r="12981" ht="15" customHeight="1"/>
    <row r="12982" ht="15" customHeight="1"/>
    <row r="12983" ht="15" customHeight="1"/>
    <row r="12984" ht="15" customHeight="1"/>
    <row r="12985" ht="15" customHeight="1"/>
    <row r="12986" ht="15" customHeight="1"/>
    <row r="12987" ht="15" customHeight="1"/>
    <row r="12988" ht="15" customHeight="1"/>
    <row r="12989" ht="15" customHeight="1"/>
    <row r="12990" ht="15" customHeight="1"/>
    <row r="12991" ht="15" customHeight="1"/>
    <row r="12992" ht="15" customHeight="1"/>
    <row r="12993" ht="15" customHeight="1"/>
    <row r="12994" ht="15" customHeight="1"/>
    <row r="12995" ht="15" customHeight="1"/>
    <row r="12996" ht="15" customHeight="1"/>
    <row r="12997" ht="15" customHeight="1"/>
    <row r="12998" ht="15" customHeight="1"/>
    <row r="12999" ht="15" customHeight="1"/>
    <row r="13000" ht="15" customHeight="1"/>
    <row r="13001" ht="15" customHeight="1"/>
    <row r="13002" ht="15" customHeight="1"/>
    <row r="13003" ht="15" customHeight="1"/>
    <row r="13004" ht="15" customHeight="1"/>
    <row r="13005" ht="15" customHeight="1"/>
    <row r="13006" ht="15" customHeight="1"/>
    <row r="13007" ht="15" customHeight="1"/>
    <row r="13008" ht="15" customHeight="1"/>
    <row r="13009" ht="15" customHeight="1"/>
    <row r="13010" ht="15" customHeight="1"/>
    <row r="13011" ht="15" customHeight="1"/>
    <row r="13012" ht="15" customHeight="1"/>
    <row r="13013" ht="15" customHeight="1"/>
    <row r="13014" ht="15" customHeight="1"/>
    <row r="13015" ht="15" customHeight="1"/>
    <row r="13016" ht="15" customHeight="1"/>
    <row r="13017" ht="15" customHeight="1"/>
    <row r="13018" ht="15" customHeight="1"/>
    <row r="13019" ht="15" customHeight="1"/>
    <row r="13020" ht="15" customHeight="1"/>
    <row r="13021" ht="15" customHeight="1"/>
    <row r="13022" ht="15" customHeight="1"/>
    <row r="13023" ht="15" customHeight="1"/>
    <row r="13024" ht="15" customHeight="1"/>
    <row r="13025" ht="15" customHeight="1"/>
    <row r="13026" ht="15" customHeight="1"/>
    <row r="13027" ht="15" customHeight="1"/>
    <row r="13028" ht="15" customHeight="1"/>
    <row r="13029" ht="15" customHeight="1"/>
    <row r="13030" ht="15" customHeight="1"/>
    <row r="13031" ht="15" customHeight="1"/>
    <row r="13032" ht="15" customHeight="1"/>
    <row r="13033" ht="15" customHeight="1"/>
    <row r="13034" ht="15" customHeight="1"/>
    <row r="13035" ht="15" customHeight="1"/>
    <row r="13036" ht="15" customHeight="1"/>
    <row r="13037" ht="15" customHeight="1"/>
    <row r="13038" ht="15" customHeight="1"/>
    <row r="13039" ht="15" customHeight="1"/>
    <row r="13040" ht="15" customHeight="1"/>
    <row r="13041" ht="15" customHeight="1"/>
    <row r="13042" ht="15" customHeight="1"/>
    <row r="13043" ht="15" customHeight="1"/>
    <row r="13044" ht="15" customHeight="1"/>
    <row r="13045" ht="15" customHeight="1"/>
    <row r="13046" ht="15" customHeight="1"/>
    <row r="13047" ht="15" customHeight="1"/>
    <row r="13048" ht="15" customHeight="1"/>
    <row r="13049" ht="15" customHeight="1"/>
    <row r="13050" ht="15" customHeight="1"/>
    <row r="13051" ht="15" customHeight="1"/>
    <row r="13052" ht="15" customHeight="1"/>
    <row r="13053" ht="15" customHeight="1"/>
    <row r="13054" ht="15" customHeight="1"/>
    <row r="13055" ht="15" customHeight="1"/>
    <row r="13056" ht="15" customHeight="1"/>
    <row r="13057" ht="15" customHeight="1"/>
    <row r="13058" ht="15" customHeight="1"/>
    <row r="13059" ht="15" customHeight="1"/>
    <row r="13060" ht="15" customHeight="1"/>
    <row r="13061" ht="15" customHeight="1"/>
    <row r="13062" ht="15" customHeight="1"/>
    <row r="13063" ht="15" customHeight="1"/>
    <row r="13064" ht="15" customHeight="1"/>
    <row r="13065" ht="15" customHeight="1"/>
    <row r="13066" ht="15" customHeight="1"/>
    <row r="13067" ht="15" customHeight="1"/>
    <row r="13068" ht="15" customHeight="1"/>
    <row r="13069" ht="15" customHeight="1"/>
    <row r="13070" ht="15" customHeight="1"/>
    <row r="13071" ht="15" customHeight="1"/>
    <row r="13072" ht="15" customHeight="1"/>
    <row r="13073" ht="15" customHeight="1"/>
    <row r="13074" ht="15" customHeight="1"/>
    <row r="13075" ht="15" customHeight="1"/>
    <row r="13076" ht="15" customHeight="1"/>
    <row r="13077" ht="15" customHeight="1"/>
    <row r="13078" ht="15" customHeight="1"/>
    <row r="13079" ht="15" customHeight="1"/>
    <row r="13080" ht="15" customHeight="1"/>
    <row r="13081" ht="15" customHeight="1"/>
    <row r="13082" ht="15" customHeight="1"/>
    <row r="13083" ht="15" customHeight="1"/>
    <row r="13084" ht="15" customHeight="1"/>
    <row r="13085" ht="15" customHeight="1"/>
    <row r="13086" ht="15" customHeight="1"/>
    <row r="13087" ht="15" customHeight="1"/>
    <row r="13088" ht="15" customHeight="1"/>
    <row r="13089" ht="15" customHeight="1"/>
    <row r="13090" ht="15" customHeight="1"/>
    <row r="13091" ht="15" customHeight="1"/>
    <row r="13092" ht="15" customHeight="1"/>
    <row r="13093" ht="15" customHeight="1"/>
    <row r="13094" ht="15" customHeight="1"/>
    <row r="13095" ht="15" customHeight="1"/>
    <row r="13096" ht="15" customHeight="1"/>
    <row r="13097" ht="15" customHeight="1"/>
    <row r="13098" ht="15" customHeight="1"/>
    <row r="13099" ht="15" customHeight="1"/>
    <row r="13100" ht="15" customHeight="1"/>
    <row r="13101" ht="15" customHeight="1"/>
    <row r="13102" ht="15" customHeight="1"/>
    <row r="13103" ht="15" customHeight="1"/>
    <row r="13104" ht="15" customHeight="1"/>
    <row r="13105" ht="15" customHeight="1"/>
    <row r="13106" ht="15" customHeight="1"/>
    <row r="13107" ht="15" customHeight="1"/>
    <row r="13108" ht="15" customHeight="1"/>
    <row r="13109" ht="15" customHeight="1"/>
    <row r="13110" ht="15" customHeight="1"/>
    <row r="13111" ht="15" customHeight="1"/>
    <row r="13112" ht="15" customHeight="1"/>
    <row r="13113" ht="15" customHeight="1"/>
    <row r="13114" ht="15" customHeight="1"/>
    <row r="13115" ht="15" customHeight="1"/>
    <row r="13116" ht="15" customHeight="1"/>
    <row r="13117" ht="15" customHeight="1"/>
    <row r="13118" ht="15" customHeight="1"/>
    <row r="13119" ht="15" customHeight="1"/>
    <row r="13120" ht="15" customHeight="1"/>
    <row r="13121" ht="15" customHeight="1"/>
    <row r="13122" ht="15" customHeight="1"/>
    <row r="13123" ht="15" customHeight="1"/>
    <row r="13124" ht="15" customHeight="1"/>
    <row r="13125" ht="15" customHeight="1"/>
    <row r="13126" ht="15" customHeight="1"/>
    <row r="13127" ht="15" customHeight="1"/>
    <row r="13128" ht="15" customHeight="1"/>
    <row r="13129" ht="15" customHeight="1"/>
    <row r="13130" ht="15" customHeight="1"/>
    <row r="13131" ht="15" customHeight="1"/>
    <row r="13132" ht="15" customHeight="1"/>
    <row r="13133" ht="15" customHeight="1"/>
    <row r="13134" ht="15" customHeight="1"/>
    <row r="13135" ht="15" customHeight="1"/>
    <row r="13136" ht="15" customHeight="1"/>
    <row r="13137" ht="15" customHeight="1"/>
    <row r="13138" ht="15" customHeight="1"/>
    <row r="13139" ht="15" customHeight="1"/>
    <row r="13140" ht="15" customHeight="1"/>
    <row r="13141" ht="15" customHeight="1"/>
    <row r="13142" ht="15" customHeight="1"/>
    <row r="13143" ht="15" customHeight="1"/>
    <row r="13144" ht="15" customHeight="1"/>
    <row r="13145" ht="15" customHeight="1"/>
    <row r="13146" ht="15" customHeight="1"/>
    <row r="13147" ht="15" customHeight="1"/>
    <row r="13148" ht="15" customHeight="1"/>
    <row r="13149" ht="15" customHeight="1"/>
    <row r="13150" ht="15" customHeight="1"/>
    <row r="13151" ht="15" customHeight="1"/>
    <row r="13152" ht="15" customHeight="1"/>
    <row r="13153" ht="15" customHeight="1"/>
    <row r="13154" ht="15" customHeight="1"/>
    <row r="13155" ht="15" customHeight="1"/>
    <row r="13156" ht="15" customHeight="1"/>
    <row r="13157" ht="15" customHeight="1"/>
    <row r="13158" ht="15" customHeight="1"/>
    <row r="13159" ht="15" customHeight="1"/>
    <row r="13160" ht="15" customHeight="1"/>
    <row r="13161" ht="15" customHeight="1"/>
    <row r="13162" ht="15" customHeight="1"/>
    <row r="13163" ht="15" customHeight="1"/>
    <row r="13164" ht="15" customHeight="1"/>
    <row r="13165" ht="15" customHeight="1"/>
    <row r="13166" ht="15" customHeight="1"/>
    <row r="13167" ht="15" customHeight="1"/>
    <row r="13168" ht="15" customHeight="1"/>
    <row r="13169" ht="15" customHeight="1"/>
    <row r="13170" ht="15" customHeight="1"/>
    <row r="13171" ht="15" customHeight="1"/>
    <row r="13172" ht="15" customHeight="1"/>
    <row r="13173" ht="15" customHeight="1"/>
    <row r="13174" ht="15" customHeight="1"/>
    <row r="13175" ht="15" customHeight="1"/>
    <row r="13176" ht="15" customHeight="1"/>
    <row r="13177" ht="15" customHeight="1"/>
    <row r="13178" ht="15" customHeight="1"/>
    <row r="13179" ht="15" customHeight="1"/>
    <row r="13180" ht="15" customHeight="1"/>
    <row r="13181" ht="15" customHeight="1"/>
    <row r="13182" ht="15" customHeight="1"/>
    <row r="13183" ht="15" customHeight="1"/>
    <row r="13184" ht="15" customHeight="1"/>
    <row r="13185" ht="15" customHeight="1"/>
    <row r="13186" ht="15" customHeight="1"/>
    <row r="13187" ht="15" customHeight="1"/>
    <row r="13188" ht="15" customHeight="1"/>
    <row r="13189" ht="15" customHeight="1"/>
    <row r="13190" ht="15" customHeight="1"/>
    <row r="13191" ht="15" customHeight="1"/>
    <row r="13192" ht="15" customHeight="1"/>
    <row r="13193" ht="15" customHeight="1"/>
    <row r="13194" ht="15" customHeight="1"/>
    <row r="13195" ht="15" customHeight="1"/>
    <row r="13196" ht="15" customHeight="1"/>
    <row r="13197" ht="15" customHeight="1"/>
    <row r="13198" ht="15" customHeight="1"/>
    <row r="13199" ht="15" customHeight="1"/>
    <row r="13200" ht="15" customHeight="1"/>
    <row r="13201" ht="15" customHeight="1"/>
    <row r="13202" ht="15" customHeight="1"/>
    <row r="13203" ht="15" customHeight="1"/>
    <row r="13204" ht="15" customHeight="1"/>
    <row r="13205" ht="15" customHeight="1"/>
    <row r="13206" ht="15" customHeight="1"/>
    <row r="13207" ht="15" customHeight="1"/>
    <row r="13208" ht="15" customHeight="1"/>
    <row r="13209" ht="15" customHeight="1"/>
    <row r="13210" ht="15" customHeight="1"/>
    <row r="13211" ht="15" customHeight="1"/>
    <row r="13212" ht="15" customHeight="1"/>
    <row r="13213" ht="15" customHeight="1"/>
    <row r="13214" ht="15" customHeight="1"/>
    <row r="13215" ht="15" customHeight="1"/>
    <row r="13216" ht="15" customHeight="1"/>
    <row r="13217" ht="15" customHeight="1"/>
    <row r="13218" ht="15" customHeight="1"/>
    <row r="13219" ht="15" customHeight="1"/>
    <row r="13220" ht="15" customHeight="1"/>
    <row r="13221" ht="15" customHeight="1"/>
    <row r="13222" ht="15" customHeight="1"/>
    <row r="13223" ht="15" customHeight="1"/>
    <row r="13224" ht="15" customHeight="1"/>
    <row r="13225" ht="15" customHeight="1"/>
    <row r="13226" ht="15" customHeight="1"/>
    <row r="13227" ht="15" customHeight="1"/>
    <row r="13228" ht="15" customHeight="1"/>
    <row r="13229" ht="15" customHeight="1"/>
    <row r="13230" ht="15" customHeight="1"/>
    <row r="13231" ht="15" customHeight="1"/>
    <row r="13232" ht="15" customHeight="1"/>
    <row r="13233" ht="15" customHeight="1"/>
    <row r="13234" ht="15" customHeight="1"/>
    <row r="13235" ht="15" customHeight="1"/>
    <row r="13236" ht="15" customHeight="1"/>
    <row r="13237" ht="15" customHeight="1"/>
    <row r="13238" ht="15" customHeight="1"/>
    <row r="13239" ht="15" customHeight="1"/>
    <row r="13240" ht="15" customHeight="1"/>
    <row r="13241" ht="15" customHeight="1"/>
    <row r="13242" ht="15" customHeight="1"/>
    <row r="13243" ht="15" customHeight="1"/>
    <row r="13244" ht="15" customHeight="1"/>
    <row r="13245" ht="15" customHeight="1"/>
    <row r="13246" ht="15" customHeight="1"/>
    <row r="13247" ht="15" customHeight="1"/>
    <row r="13248" ht="15" customHeight="1"/>
    <row r="13249" ht="15" customHeight="1"/>
    <row r="13250" ht="15" customHeight="1"/>
    <row r="13251" ht="15" customHeight="1"/>
    <row r="13252" ht="15" customHeight="1"/>
    <row r="13253" ht="15" customHeight="1"/>
    <row r="13254" ht="15" customHeight="1"/>
    <row r="13255" ht="15" customHeight="1"/>
    <row r="13256" ht="15" customHeight="1"/>
    <row r="13257" ht="15" customHeight="1"/>
    <row r="13258" ht="15" customHeight="1"/>
    <row r="13259" ht="15" customHeight="1"/>
    <row r="13260" ht="15" customHeight="1"/>
    <row r="13261" ht="15" customHeight="1"/>
    <row r="13262" ht="15" customHeight="1"/>
    <row r="13263" ht="15" customHeight="1"/>
    <row r="13264" ht="15" customHeight="1"/>
    <row r="13265" ht="15" customHeight="1"/>
    <row r="13266" ht="15" customHeight="1"/>
    <row r="13267" ht="15" customHeight="1"/>
    <row r="13268" ht="15" customHeight="1"/>
    <row r="13269" ht="15" customHeight="1"/>
    <row r="13270" ht="15" customHeight="1"/>
    <row r="13271" ht="15" customHeight="1"/>
    <row r="13272" ht="15" customHeight="1"/>
    <row r="13273" ht="15" customHeight="1"/>
    <row r="13274" ht="15" customHeight="1"/>
    <row r="13275" ht="15" customHeight="1"/>
    <row r="13276" ht="15" customHeight="1"/>
    <row r="13277" ht="15" customHeight="1"/>
    <row r="13278" ht="15" customHeight="1"/>
    <row r="13279" ht="15" customHeight="1"/>
    <row r="13280" ht="15" customHeight="1"/>
    <row r="13281" ht="15" customHeight="1"/>
    <row r="13282" ht="15" customHeight="1"/>
    <row r="13283" ht="15" customHeight="1"/>
    <row r="13284" ht="15" customHeight="1"/>
    <row r="13285" ht="15" customHeight="1"/>
    <row r="13286" ht="15" customHeight="1"/>
    <row r="13287" ht="15" customHeight="1"/>
    <row r="13288" ht="15" customHeight="1"/>
    <row r="13289" ht="15" customHeight="1"/>
    <row r="13290" ht="15" customHeight="1"/>
    <row r="13291" ht="15" customHeight="1"/>
    <row r="13292" ht="15" customHeight="1"/>
    <row r="13293" ht="15" customHeight="1"/>
    <row r="13294" ht="15" customHeight="1"/>
    <row r="13295" ht="15" customHeight="1"/>
    <row r="13296" ht="15" customHeight="1"/>
    <row r="13297" ht="15" customHeight="1"/>
    <row r="13298" ht="15" customHeight="1"/>
    <row r="13299" ht="15" customHeight="1"/>
    <row r="13300" ht="15" customHeight="1"/>
    <row r="13301" ht="15" customHeight="1"/>
    <row r="13302" ht="15" customHeight="1"/>
    <row r="13303" ht="15" customHeight="1"/>
    <row r="13304" ht="15" customHeight="1"/>
    <row r="13305" ht="15" customHeight="1"/>
    <row r="13306" ht="15" customHeight="1"/>
    <row r="13307" ht="15" customHeight="1"/>
    <row r="13308" ht="15" customHeight="1"/>
    <row r="13309" ht="15" customHeight="1"/>
    <row r="13310" ht="15" customHeight="1"/>
    <row r="13311" ht="15" customHeight="1"/>
    <row r="13312" ht="15" customHeight="1"/>
    <row r="13313" ht="15" customHeight="1"/>
    <row r="13314" ht="15" customHeight="1"/>
    <row r="13315" ht="15" customHeight="1"/>
    <row r="13316" ht="15" customHeight="1"/>
    <row r="13317" ht="15" customHeight="1"/>
    <row r="13318" ht="15" customHeight="1"/>
    <row r="13319" ht="15" customHeight="1"/>
    <row r="13320" ht="15" customHeight="1"/>
    <row r="13321" ht="15" customHeight="1"/>
    <row r="13322" ht="15" customHeight="1"/>
    <row r="13323" ht="15" customHeight="1"/>
    <row r="13324" ht="15" customHeight="1"/>
    <row r="13325" ht="15" customHeight="1"/>
    <row r="13326" ht="15" customHeight="1"/>
    <row r="13327" ht="15" customHeight="1"/>
    <row r="13328" ht="15" customHeight="1"/>
    <row r="13329" ht="15" customHeight="1"/>
    <row r="13330" ht="15" customHeight="1"/>
    <row r="13331" ht="15" customHeight="1"/>
    <row r="13332" ht="15" customHeight="1"/>
    <row r="13333" ht="15" customHeight="1"/>
    <row r="13334" ht="15" customHeight="1"/>
    <row r="13335" ht="15" customHeight="1"/>
    <row r="13336" ht="15" customHeight="1"/>
    <row r="13337" ht="15" customHeight="1"/>
    <row r="13338" ht="15" customHeight="1"/>
    <row r="13339" ht="15" customHeight="1"/>
    <row r="13340" ht="15" customHeight="1"/>
    <row r="13341" ht="15" customHeight="1"/>
    <row r="13342" ht="15" customHeight="1"/>
    <row r="13343" ht="15" customHeight="1"/>
    <row r="13344" ht="15" customHeight="1"/>
    <row r="13345" ht="15" customHeight="1"/>
    <row r="13346" ht="15" customHeight="1"/>
    <row r="13347" ht="15" customHeight="1"/>
    <row r="13348" ht="15" customHeight="1"/>
    <row r="13349" ht="15" customHeight="1"/>
    <row r="13350" ht="15" customHeight="1"/>
    <row r="13351" ht="15" customHeight="1"/>
    <row r="13352" ht="15" customHeight="1"/>
    <row r="13353" ht="15" customHeight="1"/>
    <row r="13354" ht="15" customHeight="1"/>
    <row r="13355" ht="15" customHeight="1"/>
    <row r="13356" ht="15" customHeight="1"/>
    <row r="13357" ht="15" customHeight="1"/>
    <row r="13358" ht="15" customHeight="1"/>
    <row r="13359" ht="15" customHeight="1"/>
    <row r="13360" ht="15" customHeight="1"/>
    <row r="13361" ht="15" customHeight="1"/>
    <row r="13362" ht="15" customHeight="1"/>
    <row r="13363" ht="15" customHeight="1"/>
    <row r="13364" ht="15" customHeight="1"/>
    <row r="13365" ht="15" customHeight="1"/>
    <row r="13366" ht="15" customHeight="1"/>
    <row r="13367" ht="15" customHeight="1"/>
    <row r="13368" ht="15" customHeight="1"/>
    <row r="13369" ht="15" customHeight="1"/>
    <row r="13370" ht="15" customHeight="1"/>
    <row r="13371" ht="15" customHeight="1"/>
    <row r="13372" ht="15" customHeight="1"/>
    <row r="13373" ht="15" customHeight="1"/>
    <row r="13374" ht="15" customHeight="1"/>
    <row r="13375" ht="15" customHeight="1"/>
    <row r="13376" ht="15" customHeight="1"/>
    <row r="13377" ht="15" customHeight="1"/>
    <row r="13378" ht="15" customHeight="1"/>
    <row r="13379" ht="15" customHeight="1"/>
    <row r="13380" ht="15" customHeight="1"/>
    <row r="13381" ht="15" customHeight="1"/>
    <row r="13382" ht="15" customHeight="1"/>
    <row r="13383" ht="15" customHeight="1"/>
    <row r="13384" ht="15" customHeight="1"/>
    <row r="13385" ht="15" customHeight="1"/>
    <row r="13386" ht="15" customHeight="1"/>
    <row r="13387" ht="15" customHeight="1"/>
    <row r="13388" ht="15" customHeight="1"/>
    <row r="13389" ht="15" customHeight="1"/>
    <row r="13390" ht="15" customHeight="1"/>
    <row r="13391" ht="15" customHeight="1"/>
    <row r="13392" ht="15" customHeight="1"/>
    <row r="13393" ht="15" customHeight="1"/>
    <row r="13394" ht="15" customHeight="1"/>
    <row r="13395" ht="15" customHeight="1"/>
    <row r="13396" ht="15" customHeight="1"/>
    <row r="13397" ht="15" customHeight="1"/>
    <row r="13398" ht="15" customHeight="1"/>
    <row r="13399" ht="15" customHeight="1"/>
    <row r="13400" ht="15" customHeight="1"/>
    <row r="13401" ht="15" customHeight="1"/>
    <row r="13402" ht="15" customHeight="1"/>
    <row r="13403" ht="15" customHeight="1"/>
    <row r="13404" ht="15" customHeight="1"/>
    <row r="13405" ht="15" customHeight="1"/>
    <row r="13406" ht="15" customHeight="1"/>
    <row r="13407" ht="15" customHeight="1"/>
    <row r="13408" ht="15" customHeight="1"/>
    <row r="13409" ht="15" customHeight="1"/>
    <row r="13410" ht="15" customHeight="1"/>
    <row r="13411" ht="15" customHeight="1"/>
    <row r="13412" ht="15" customHeight="1"/>
    <row r="13413" ht="15" customHeight="1"/>
    <row r="13414" ht="15" customHeight="1"/>
    <row r="13415" ht="15" customHeight="1"/>
    <row r="13416" ht="15" customHeight="1"/>
    <row r="13417" ht="15" customHeight="1"/>
    <row r="13418" ht="15" customHeight="1"/>
    <row r="13419" ht="15" customHeight="1"/>
    <row r="13420" ht="15" customHeight="1"/>
    <row r="13421" ht="15" customHeight="1"/>
    <row r="13422" ht="15" customHeight="1"/>
    <row r="13423" ht="15" customHeight="1"/>
    <row r="13424" ht="15" customHeight="1"/>
    <row r="13425" ht="15" customHeight="1"/>
    <row r="13426" ht="15" customHeight="1"/>
    <row r="13427" ht="15" customHeight="1"/>
    <row r="13428" ht="15" customHeight="1"/>
    <row r="13429" ht="15" customHeight="1"/>
    <row r="13430" ht="15" customHeight="1"/>
    <row r="13431" ht="15" customHeight="1"/>
    <row r="13432" ht="15" customHeight="1"/>
    <row r="13433" ht="15" customHeight="1"/>
    <row r="13434" ht="15" customHeight="1"/>
    <row r="13435" ht="15" customHeight="1"/>
    <row r="13436" ht="15" customHeight="1"/>
    <row r="13437" ht="15" customHeight="1"/>
    <row r="13438" ht="15" customHeight="1"/>
    <row r="13439" ht="15" customHeight="1"/>
    <row r="13440" ht="15" customHeight="1"/>
    <row r="13441" ht="15" customHeight="1"/>
    <row r="13442" ht="15" customHeight="1"/>
    <row r="13443" ht="15" customHeight="1"/>
    <row r="13444" ht="15" customHeight="1"/>
    <row r="13445" ht="15" customHeight="1"/>
    <row r="13446" ht="15" customHeight="1"/>
    <row r="13447" ht="15" customHeight="1"/>
    <row r="13448" ht="15" customHeight="1"/>
    <row r="13449" ht="15" customHeight="1"/>
    <row r="13450" ht="15" customHeight="1"/>
    <row r="13451" ht="15" customHeight="1"/>
    <row r="13452" ht="15" customHeight="1"/>
    <row r="13453" ht="15" customHeight="1"/>
    <row r="13454" ht="15" customHeight="1"/>
    <row r="13455" ht="15" customHeight="1"/>
    <row r="13456" ht="15" customHeight="1"/>
    <row r="13457" ht="15" customHeight="1"/>
    <row r="13458" ht="15" customHeight="1"/>
    <row r="13459" ht="15" customHeight="1"/>
    <row r="13460" ht="15" customHeight="1"/>
    <row r="13461" ht="15" customHeight="1"/>
    <row r="13462" ht="15" customHeight="1"/>
    <row r="13463" ht="15" customHeight="1"/>
    <row r="13464" ht="15" customHeight="1"/>
    <row r="13465" ht="15" customHeight="1"/>
    <row r="13466" ht="15" customHeight="1"/>
    <row r="13467" ht="15" customHeight="1"/>
    <row r="13468" ht="15" customHeight="1"/>
    <row r="13469" ht="15" customHeight="1"/>
    <row r="13470" ht="15" customHeight="1"/>
    <row r="13471" ht="15" customHeight="1"/>
    <row r="13472" ht="15" customHeight="1"/>
    <row r="13473" ht="15" customHeight="1"/>
    <row r="13474" ht="15" customHeight="1"/>
    <row r="13475" ht="15" customHeight="1"/>
    <row r="13476" ht="15" customHeight="1"/>
    <row r="13477" ht="15" customHeight="1"/>
    <row r="13478" ht="15" customHeight="1"/>
    <row r="13479" ht="15" customHeight="1"/>
    <row r="13480" ht="15" customHeight="1"/>
    <row r="13481" ht="15" customHeight="1"/>
    <row r="13482" ht="15" customHeight="1"/>
    <row r="13483" ht="15" customHeight="1"/>
    <row r="13484" ht="15" customHeight="1"/>
    <row r="13485" ht="15" customHeight="1"/>
    <row r="13486" ht="15" customHeight="1"/>
    <row r="13487" ht="15" customHeight="1"/>
    <row r="13488" ht="15" customHeight="1"/>
    <row r="13489" ht="15" customHeight="1"/>
    <row r="13490" ht="15" customHeight="1"/>
    <row r="13491" ht="15" customHeight="1"/>
    <row r="13492" ht="15" customHeight="1"/>
    <row r="13493" ht="15" customHeight="1"/>
    <row r="13494" ht="15" customHeight="1"/>
    <row r="13495" ht="15" customHeight="1"/>
    <row r="13496" ht="15" customHeight="1"/>
    <row r="13497" ht="15" customHeight="1"/>
    <row r="13498" ht="15" customHeight="1"/>
    <row r="13499" ht="15" customHeight="1"/>
    <row r="13500" ht="15" customHeight="1"/>
    <row r="13501" ht="15" customHeight="1"/>
    <row r="13502" ht="15" customHeight="1"/>
    <row r="13503" ht="15" customHeight="1"/>
    <row r="13504" ht="15" customHeight="1"/>
    <row r="13505" ht="15" customHeight="1"/>
    <row r="13506" ht="15" customHeight="1"/>
    <row r="13507" ht="15" customHeight="1"/>
    <row r="13508" ht="15" customHeight="1"/>
    <row r="13509" ht="15" customHeight="1"/>
    <row r="13510" ht="15" customHeight="1"/>
    <row r="13511" ht="15" customHeight="1"/>
    <row r="13512" ht="15" customHeight="1"/>
    <row r="13513" ht="15" customHeight="1"/>
    <row r="13514" ht="15" customHeight="1"/>
    <row r="13515" ht="15" customHeight="1"/>
    <row r="13516" ht="15" customHeight="1"/>
    <row r="13517" ht="15" customHeight="1"/>
    <row r="13518" ht="15" customHeight="1"/>
    <row r="13519" ht="15" customHeight="1"/>
    <row r="13520" ht="15" customHeight="1"/>
    <row r="13521" ht="15" customHeight="1"/>
    <row r="13522" ht="15" customHeight="1"/>
    <row r="13523" ht="15" customHeight="1"/>
    <row r="13524" ht="15" customHeight="1"/>
    <row r="13525" ht="15" customHeight="1"/>
    <row r="13526" ht="15" customHeight="1"/>
    <row r="13527" ht="15" customHeight="1"/>
    <row r="13528" ht="15" customHeight="1"/>
    <row r="13529" ht="15" customHeight="1"/>
    <row r="13530" ht="15" customHeight="1"/>
    <row r="13531" ht="15" customHeight="1"/>
    <row r="13532" ht="15" customHeight="1"/>
    <row r="13533" ht="15" customHeight="1"/>
    <row r="13534" ht="15" customHeight="1"/>
    <row r="13535" ht="15" customHeight="1"/>
    <row r="13536" ht="15" customHeight="1"/>
    <row r="13537" ht="15" customHeight="1"/>
    <row r="13538" ht="15" customHeight="1"/>
    <row r="13539" ht="15" customHeight="1"/>
    <row r="13540" ht="15" customHeight="1"/>
    <row r="13541" ht="15" customHeight="1"/>
    <row r="13542" ht="15" customHeight="1"/>
    <row r="13543" ht="15" customHeight="1"/>
    <row r="13544" ht="15" customHeight="1"/>
    <row r="13545" ht="15" customHeight="1"/>
    <row r="13546" ht="15" customHeight="1"/>
    <row r="13547" ht="15" customHeight="1"/>
    <row r="13548" ht="15" customHeight="1"/>
    <row r="13549" ht="15" customHeight="1"/>
    <row r="13550" ht="15" customHeight="1"/>
    <row r="13551" ht="15" customHeight="1"/>
    <row r="13552" ht="15" customHeight="1"/>
    <row r="13553" ht="15" customHeight="1"/>
    <row r="13554" ht="15" customHeight="1"/>
    <row r="13555" ht="15" customHeight="1"/>
    <row r="13556" ht="15" customHeight="1"/>
    <row r="13557" ht="15" customHeight="1"/>
    <row r="13558" ht="15" customHeight="1"/>
    <row r="13559" ht="15" customHeight="1"/>
    <row r="13560" ht="15" customHeight="1"/>
    <row r="13561" ht="15" customHeight="1"/>
    <row r="13562" ht="15" customHeight="1"/>
    <row r="13563" ht="15" customHeight="1"/>
    <row r="13564" ht="15" customHeight="1"/>
    <row r="13565" ht="15" customHeight="1"/>
    <row r="13566" ht="15" customHeight="1"/>
    <row r="13567" ht="15" customHeight="1"/>
    <row r="13568" ht="15" customHeight="1"/>
    <row r="13569" ht="15" customHeight="1"/>
    <row r="13570" ht="15" customHeight="1"/>
    <row r="13571" ht="15" customHeight="1"/>
    <row r="13572" ht="15" customHeight="1"/>
    <row r="13573" ht="15" customHeight="1"/>
    <row r="13574" ht="15" customHeight="1"/>
    <row r="13575" ht="15" customHeight="1"/>
    <row r="13576" ht="15" customHeight="1"/>
    <row r="13577" ht="15" customHeight="1"/>
    <row r="13578" ht="15" customHeight="1"/>
    <row r="13579" ht="15" customHeight="1"/>
    <row r="13580" ht="15" customHeight="1"/>
    <row r="13581" ht="15" customHeight="1"/>
    <row r="13582" ht="15" customHeight="1"/>
    <row r="13583" ht="15" customHeight="1"/>
    <row r="13584" ht="15" customHeight="1"/>
    <row r="13585" ht="15" customHeight="1"/>
    <row r="13586" ht="15" customHeight="1"/>
    <row r="13587" ht="15" customHeight="1"/>
    <row r="13588" ht="15" customHeight="1"/>
    <row r="13589" ht="15" customHeight="1"/>
    <row r="13590" ht="15" customHeight="1"/>
    <row r="13591" ht="15" customHeight="1"/>
    <row r="13592" ht="15" customHeight="1"/>
    <row r="13593" ht="15" customHeight="1"/>
    <row r="13594" ht="15" customHeight="1"/>
    <row r="13595" ht="15" customHeight="1"/>
    <row r="13596" ht="15" customHeight="1"/>
    <row r="13597" ht="15" customHeight="1"/>
    <row r="13598" ht="15" customHeight="1"/>
    <row r="13599" ht="15" customHeight="1"/>
    <row r="13600" ht="15" customHeight="1"/>
    <row r="13601" ht="15" customHeight="1"/>
    <row r="13602" ht="15" customHeight="1"/>
    <row r="13603" ht="15" customHeight="1"/>
    <row r="13604" ht="15" customHeight="1"/>
    <row r="13605" ht="15" customHeight="1"/>
    <row r="13606" ht="15" customHeight="1"/>
    <row r="13607" ht="15" customHeight="1"/>
    <row r="13608" ht="15" customHeight="1"/>
    <row r="13609" ht="15" customHeight="1"/>
    <row r="13610" ht="15" customHeight="1"/>
    <row r="13611" ht="15" customHeight="1"/>
    <row r="13612" ht="15" customHeight="1"/>
    <row r="13613" ht="15" customHeight="1"/>
    <row r="13614" ht="15" customHeight="1"/>
    <row r="13615" ht="15" customHeight="1"/>
    <row r="13616" ht="15" customHeight="1"/>
    <row r="13617" ht="15" customHeight="1"/>
    <row r="13618" ht="15" customHeight="1"/>
    <row r="13619" ht="15" customHeight="1"/>
    <row r="13620" ht="15" customHeight="1"/>
    <row r="13621" ht="15" customHeight="1"/>
    <row r="13622" ht="15" customHeight="1"/>
    <row r="13623" ht="15" customHeight="1"/>
    <row r="13624" ht="15" customHeight="1"/>
    <row r="13625" ht="15" customHeight="1"/>
    <row r="13626" ht="15" customHeight="1"/>
    <row r="13627" ht="15" customHeight="1"/>
    <row r="13628" ht="15" customHeight="1"/>
    <row r="13629" ht="15" customHeight="1"/>
    <row r="13630" ht="15" customHeight="1"/>
    <row r="13631" ht="15" customHeight="1"/>
    <row r="13632" ht="15" customHeight="1"/>
    <row r="13633" ht="15" customHeight="1"/>
    <row r="13634" ht="15" customHeight="1"/>
    <row r="13635" ht="15" customHeight="1"/>
    <row r="13636" ht="15" customHeight="1"/>
    <row r="13637" ht="15" customHeight="1"/>
    <row r="13638" ht="15" customHeight="1"/>
    <row r="13639" ht="15" customHeight="1"/>
    <row r="13640" ht="15" customHeight="1"/>
    <row r="13641" ht="15" customHeight="1"/>
    <row r="13642" ht="15" customHeight="1"/>
    <row r="13643" ht="15" customHeight="1"/>
    <row r="13644" ht="15" customHeight="1"/>
    <row r="13645" ht="15" customHeight="1"/>
    <row r="13646" ht="15" customHeight="1"/>
    <row r="13647" ht="15" customHeight="1"/>
    <row r="13648" ht="15" customHeight="1"/>
    <row r="13649" ht="15" customHeight="1"/>
    <row r="13650" ht="15" customHeight="1"/>
    <row r="13651" ht="15" customHeight="1"/>
    <row r="13652" ht="15" customHeight="1"/>
    <row r="13653" ht="15" customHeight="1"/>
    <row r="13654" ht="15" customHeight="1"/>
    <row r="13655" ht="15" customHeight="1"/>
    <row r="13656" ht="15" customHeight="1"/>
    <row r="13657" ht="15" customHeight="1"/>
    <row r="13658" ht="15" customHeight="1"/>
    <row r="13659" ht="15" customHeight="1"/>
    <row r="13660" ht="15" customHeight="1"/>
    <row r="13661" ht="15" customHeight="1"/>
    <row r="13662" ht="15" customHeight="1"/>
    <row r="13663" ht="15" customHeight="1"/>
    <row r="13664" ht="15" customHeight="1"/>
    <row r="13665" ht="15" customHeight="1"/>
    <row r="13666" ht="15" customHeight="1"/>
    <row r="13667" ht="15" customHeight="1"/>
    <row r="13668" ht="15" customHeight="1"/>
    <row r="13669" ht="15" customHeight="1"/>
    <row r="13670" ht="15" customHeight="1"/>
    <row r="13671" ht="15" customHeight="1"/>
    <row r="13672" ht="15" customHeight="1"/>
    <row r="13673" ht="15" customHeight="1"/>
    <row r="13674" ht="15" customHeight="1"/>
    <row r="13675" ht="15" customHeight="1"/>
    <row r="13676" ht="15" customHeight="1"/>
    <row r="13677" ht="15" customHeight="1"/>
    <row r="13678" ht="15" customHeight="1"/>
    <row r="13679" ht="15" customHeight="1"/>
    <row r="13680" ht="15" customHeight="1"/>
    <row r="13681" ht="15" customHeight="1"/>
    <row r="13682" ht="15" customHeight="1"/>
    <row r="13683" ht="15" customHeight="1"/>
    <row r="13684" ht="15" customHeight="1"/>
    <row r="13685" ht="15" customHeight="1"/>
    <row r="13686" ht="15" customHeight="1"/>
    <row r="13687" ht="15" customHeight="1"/>
    <row r="13688" ht="15" customHeight="1"/>
    <row r="13689" ht="15" customHeight="1"/>
    <row r="13690" ht="15" customHeight="1"/>
    <row r="13691" ht="15" customHeight="1"/>
    <row r="13692" ht="15" customHeight="1"/>
    <row r="13693" ht="15" customHeight="1"/>
    <row r="13694" ht="15" customHeight="1"/>
    <row r="13695" ht="15" customHeight="1"/>
    <row r="13696" ht="15" customHeight="1"/>
    <row r="13697" ht="15" customHeight="1"/>
    <row r="13698" ht="15" customHeight="1"/>
    <row r="13699" ht="15" customHeight="1"/>
    <row r="13700" ht="15" customHeight="1"/>
    <row r="13701" ht="15" customHeight="1"/>
    <row r="13702" ht="15" customHeight="1"/>
    <row r="13703" ht="15" customHeight="1"/>
    <row r="13704" ht="15" customHeight="1"/>
    <row r="13705" ht="15" customHeight="1"/>
    <row r="13706" ht="15" customHeight="1"/>
    <row r="13707" ht="15" customHeight="1"/>
    <row r="13708" ht="15" customHeight="1"/>
    <row r="13709" ht="15" customHeight="1"/>
    <row r="13710" ht="15" customHeight="1"/>
    <row r="13711" ht="15" customHeight="1"/>
    <row r="13712" ht="15" customHeight="1"/>
    <row r="13713" ht="15" customHeight="1"/>
    <row r="13714" ht="15" customHeight="1"/>
    <row r="13715" ht="15" customHeight="1"/>
    <row r="13716" ht="15" customHeight="1"/>
    <row r="13717" ht="15" customHeight="1"/>
    <row r="13718" ht="15" customHeight="1"/>
    <row r="13719" ht="15" customHeight="1"/>
    <row r="13720" ht="15" customHeight="1"/>
    <row r="13721" ht="15" customHeight="1"/>
    <row r="13722" ht="15" customHeight="1"/>
    <row r="13723" ht="15" customHeight="1"/>
    <row r="13724" ht="15" customHeight="1"/>
    <row r="13725" ht="15" customHeight="1"/>
    <row r="13726" ht="15" customHeight="1"/>
    <row r="13727" ht="15" customHeight="1"/>
    <row r="13728" ht="15" customHeight="1"/>
    <row r="13729" ht="15" customHeight="1"/>
    <row r="13730" ht="15" customHeight="1"/>
    <row r="13731" ht="15" customHeight="1"/>
    <row r="13732" ht="15" customHeight="1"/>
    <row r="13733" ht="15" customHeight="1"/>
    <row r="13734" ht="15" customHeight="1"/>
    <row r="13735" ht="15" customHeight="1"/>
    <row r="13736" ht="15" customHeight="1"/>
    <row r="13737" ht="15" customHeight="1"/>
    <row r="13738" ht="15" customHeight="1"/>
    <row r="13739" ht="15" customHeight="1"/>
    <row r="13740" ht="15" customHeight="1"/>
    <row r="13741" ht="15" customHeight="1"/>
    <row r="13742" ht="15" customHeight="1"/>
    <row r="13743" ht="15" customHeight="1"/>
    <row r="13744" ht="15" customHeight="1"/>
    <row r="13745" ht="15" customHeight="1"/>
    <row r="13746" ht="15" customHeight="1"/>
    <row r="13747" ht="15" customHeight="1"/>
    <row r="13748" ht="15" customHeight="1"/>
    <row r="13749" ht="15" customHeight="1"/>
    <row r="13750" ht="15" customHeight="1"/>
    <row r="13751" ht="15" customHeight="1"/>
    <row r="13752" ht="15" customHeight="1"/>
    <row r="13753" ht="15" customHeight="1"/>
    <row r="13754" ht="15" customHeight="1"/>
    <row r="13755" ht="15" customHeight="1"/>
    <row r="13756" ht="15" customHeight="1"/>
    <row r="13757" ht="15" customHeight="1"/>
    <row r="13758" ht="15" customHeight="1"/>
    <row r="13759" ht="15" customHeight="1"/>
    <row r="13760" ht="15" customHeight="1"/>
    <row r="13761" ht="15" customHeight="1"/>
    <row r="13762" ht="15" customHeight="1"/>
    <row r="13763" ht="15" customHeight="1"/>
    <row r="13764" ht="15" customHeight="1"/>
    <row r="13765" ht="15" customHeight="1"/>
    <row r="13766" ht="15" customHeight="1"/>
    <row r="13767" ht="15" customHeight="1"/>
    <row r="13768" ht="15" customHeight="1"/>
    <row r="13769" ht="15" customHeight="1"/>
    <row r="13770" ht="15" customHeight="1"/>
    <row r="13771" ht="15" customHeight="1"/>
    <row r="13772" ht="15" customHeight="1"/>
    <row r="13773" ht="15" customHeight="1"/>
    <row r="13774" ht="15" customHeight="1"/>
    <row r="13775" ht="15" customHeight="1"/>
    <row r="13776" ht="15" customHeight="1"/>
    <row r="13777" ht="15" customHeight="1"/>
    <row r="13778" ht="15" customHeight="1"/>
    <row r="13779" ht="15" customHeight="1"/>
    <row r="13780" ht="15" customHeight="1"/>
    <row r="13781" ht="15" customHeight="1"/>
    <row r="13782" ht="15" customHeight="1"/>
    <row r="13783" ht="15" customHeight="1"/>
    <row r="13784" ht="15" customHeight="1"/>
    <row r="13785" ht="15" customHeight="1"/>
    <row r="13786" ht="15" customHeight="1"/>
    <row r="13787" ht="15" customHeight="1"/>
    <row r="13788" ht="15" customHeight="1"/>
    <row r="13789" ht="15" customHeight="1"/>
    <row r="13790" ht="15" customHeight="1"/>
    <row r="13791" ht="15" customHeight="1"/>
    <row r="13792" ht="15" customHeight="1"/>
    <row r="13793" ht="15" customHeight="1"/>
    <row r="13794" ht="15" customHeight="1"/>
    <row r="13795" ht="15" customHeight="1"/>
    <row r="13796" ht="15" customHeight="1"/>
    <row r="13797" ht="15" customHeight="1"/>
    <row r="13798" ht="15" customHeight="1"/>
    <row r="13799" ht="15" customHeight="1"/>
    <row r="13800" ht="15" customHeight="1"/>
    <row r="13801" ht="15" customHeight="1"/>
    <row r="13802" ht="15" customHeight="1"/>
    <row r="13803" ht="15" customHeight="1"/>
    <row r="13804" ht="15" customHeight="1"/>
    <row r="13805" ht="15" customHeight="1"/>
    <row r="13806" ht="15" customHeight="1"/>
    <row r="13807" ht="15" customHeight="1"/>
    <row r="13808" ht="15" customHeight="1"/>
    <row r="13809" ht="15" customHeight="1"/>
    <row r="13810" ht="15" customHeight="1"/>
    <row r="13811" ht="15" customHeight="1"/>
    <row r="13812" ht="15" customHeight="1"/>
    <row r="13813" ht="15" customHeight="1"/>
    <row r="13814" ht="15" customHeight="1"/>
    <row r="13815" ht="15" customHeight="1"/>
    <row r="13816" ht="15" customHeight="1"/>
    <row r="13817" ht="15" customHeight="1"/>
    <row r="13818" ht="15" customHeight="1"/>
    <row r="13819" ht="15" customHeight="1"/>
    <row r="13820" ht="15" customHeight="1"/>
    <row r="13821" ht="15" customHeight="1"/>
    <row r="13822" ht="15" customHeight="1"/>
    <row r="13823" ht="15" customHeight="1"/>
    <row r="13824" ht="15" customHeight="1"/>
    <row r="13825" ht="15" customHeight="1"/>
    <row r="13826" ht="15" customHeight="1"/>
    <row r="13827" ht="15" customHeight="1"/>
    <row r="13828" ht="15" customHeight="1"/>
    <row r="13829" ht="15" customHeight="1"/>
    <row r="13830" ht="15" customHeight="1"/>
    <row r="13831" ht="15" customHeight="1"/>
    <row r="13832" ht="15" customHeight="1"/>
    <row r="13833" ht="15" customHeight="1"/>
    <row r="13834" ht="15" customHeight="1"/>
    <row r="13835" ht="15" customHeight="1"/>
    <row r="13836" ht="15" customHeight="1"/>
    <row r="13837" ht="15" customHeight="1"/>
    <row r="13838" ht="15" customHeight="1"/>
    <row r="13839" ht="15" customHeight="1"/>
    <row r="13840" ht="15" customHeight="1"/>
    <row r="13841" ht="15" customHeight="1"/>
    <row r="13842" ht="15" customHeight="1"/>
    <row r="13843" ht="15" customHeight="1"/>
    <row r="13844" ht="15" customHeight="1"/>
    <row r="13845" ht="15" customHeight="1"/>
    <row r="13846" ht="15" customHeight="1"/>
    <row r="13847" ht="15" customHeight="1"/>
    <row r="13848" ht="15" customHeight="1"/>
    <row r="13849" ht="15" customHeight="1"/>
    <row r="13850" ht="15" customHeight="1"/>
    <row r="13851" ht="15" customHeight="1"/>
    <row r="13852" ht="15" customHeight="1"/>
    <row r="13853" ht="15" customHeight="1"/>
    <row r="13854" ht="15" customHeight="1"/>
    <row r="13855" ht="15" customHeight="1"/>
    <row r="13856" ht="15" customHeight="1"/>
    <row r="13857" ht="15" customHeight="1"/>
    <row r="13858" ht="15" customHeight="1"/>
    <row r="13859" ht="15" customHeight="1"/>
    <row r="13860" ht="15" customHeight="1"/>
    <row r="13861" ht="15" customHeight="1"/>
    <row r="13862" ht="15" customHeight="1"/>
    <row r="13863" ht="15" customHeight="1"/>
    <row r="13864" ht="15" customHeight="1"/>
    <row r="13865" ht="15" customHeight="1"/>
    <row r="13866" ht="15" customHeight="1"/>
    <row r="13867" ht="15" customHeight="1"/>
    <row r="13868" ht="15" customHeight="1"/>
    <row r="13869" ht="15" customHeight="1"/>
    <row r="13870" ht="15" customHeight="1"/>
    <row r="13871" ht="15" customHeight="1"/>
    <row r="13872" ht="15" customHeight="1"/>
    <row r="13873" ht="15" customHeight="1"/>
    <row r="13874" ht="15" customHeight="1"/>
    <row r="13875" ht="15" customHeight="1"/>
    <row r="13876" ht="15" customHeight="1"/>
    <row r="13877" ht="15" customHeight="1"/>
    <row r="13878" ht="15" customHeight="1"/>
    <row r="13879" ht="15" customHeight="1"/>
    <row r="13880" ht="15" customHeight="1"/>
    <row r="13881" ht="15" customHeight="1"/>
    <row r="13882" ht="15" customHeight="1"/>
    <row r="13883" ht="15" customHeight="1"/>
    <row r="13884" ht="15" customHeight="1"/>
    <row r="13885" ht="15" customHeight="1"/>
    <row r="13886" ht="15" customHeight="1"/>
    <row r="13887" ht="15" customHeight="1"/>
    <row r="13888" ht="15" customHeight="1"/>
    <row r="13889" ht="15" customHeight="1"/>
    <row r="13890" ht="15" customHeight="1"/>
    <row r="13891" ht="15" customHeight="1"/>
    <row r="13892" ht="15" customHeight="1"/>
    <row r="13893" ht="15" customHeight="1"/>
    <row r="13894" ht="15" customHeight="1"/>
    <row r="13895" ht="15" customHeight="1"/>
    <row r="13896" ht="15" customHeight="1"/>
    <row r="13897" ht="15" customHeight="1"/>
    <row r="13898" ht="15" customHeight="1"/>
    <row r="13899" ht="15" customHeight="1"/>
    <row r="13900" ht="15" customHeight="1"/>
    <row r="13901" ht="15" customHeight="1"/>
    <row r="13902" ht="15" customHeight="1"/>
    <row r="13903" ht="15" customHeight="1"/>
    <row r="13904" ht="15" customHeight="1"/>
    <row r="13905" ht="15" customHeight="1"/>
    <row r="13906" ht="15" customHeight="1"/>
    <row r="13907" ht="15" customHeight="1"/>
    <row r="13908" ht="15" customHeight="1"/>
    <row r="13909" ht="15" customHeight="1"/>
    <row r="13910" ht="15" customHeight="1"/>
    <row r="13911" ht="15" customHeight="1"/>
    <row r="13912" ht="15" customHeight="1"/>
    <row r="13913" ht="15" customHeight="1"/>
    <row r="13914" ht="15" customHeight="1"/>
    <row r="13915" ht="15" customHeight="1"/>
    <row r="13916" ht="15" customHeight="1"/>
    <row r="13917" ht="15" customHeight="1"/>
    <row r="13918" ht="15" customHeight="1"/>
    <row r="13919" ht="15" customHeight="1"/>
    <row r="13920" ht="15" customHeight="1"/>
    <row r="13921" ht="15" customHeight="1"/>
    <row r="13922" ht="15" customHeight="1"/>
    <row r="13923" ht="15" customHeight="1"/>
    <row r="13924" ht="15" customHeight="1"/>
    <row r="13925" ht="15" customHeight="1"/>
    <row r="13926" ht="15" customHeight="1"/>
    <row r="13927" ht="15" customHeight="1"/>
    <row r="13928" ht="15" customHeight="1"/>
    <row r="13929" ht="15" customHeight="1"/>
    <row r="13930" ht="15" customHeight="1"/>
    <row r="13931" ht="15" customHeight="1"/>
    <row r="13932" ht="15" customHeight="1"/>
    <row r="13933" ht="15" customHeight="1"/>
    <row r="13934" ht="15" customHeight="1"/>
    <row r="13935" ht="15" customHeight="1"/>
    <row r="13936" ht="15" customHeight="1"/>
    <row r="13937" ht="15" customHeight="1"/>
    <row r="13938" ht="15" customHeight="1"/>
    <row r="13939" ht="15" customHeight="1"/>
    <row r="13940" ht="15" customHeight="1"/>
    <row r="13941" ht="15" customHeight="1"/>
    <row r="13942" ht="15" customHeight="1"/>
    <row r="13943" ht="15" customHeight="1"/>
    <row r="13944" ht="15" customHeight="1"/>
    <row r="13945" ht="15" customHeight="1"/>
    <row r="13946" ht="15" customHeight="1"/>
    <row r="13947" ht="15" customHeight="1"/>
    <row r="13948" ht="15" customHeight="1"/>
    <row r="13949" ht="15" customHeight="1"/>
    <row r="13950" ht="15" customHeight="1"/>
    <row r="13951" ht="15" customHeight="1"/>
    <row r="13952" ht="15" customHeight="1"/>
    <row r="13953" ht="15" customHeight="1"/>
    <row r="13954" ht="15" customHeight="1"/>
    <row r="13955" ht="15" customHeight="1"/>
    <row r="13956" ht="15" customHeight="1"/>
    <row r="13957" ht="15" customHeight="1"/>
    <row r="13958" ht="15" customHeight="1"/>
    <row r="13959" ht="15" customHeight="1"/>
    <row r="13960" ht="15" customHeight="1"/>
    <row r="13961" ht="15" customHeight="1"/>
    <row r="13962" ht="15" customHeight="1"/>
    <row r="13963" ht="15" customHeight="1"/>
    <row r="13964" ht="15" customHeight="1"/>
    <row r="13965" ht="15" customHeight="1"/>
    <row r="13966" ht="15" customHeight="1"/>
    <row r="13967" ht="15" customHeight="1"/>
    <row r="13968" ht="15" customHeight="1"/>
    <row r="13969" ht="15" customHeight="1"/>
    <row r="13970" ht="15" customHeight="1"/>
    <row r="13971" ht="15" customHeight="1"/>
    <row r="13972" ht="15" customHeight="1"/>
    <row r="13973" ht="15" customHeight="1"/>
    <row r="13974" ht="15" customHeight="1"/>
    <row r="13975" ht="15" customHeight="1"/>
    <row r="13976" ht="15" customHeight="1"/>
    <row r="13977" ht="15" customHeight="1"/>
    <row r="13978" ht="15" customHeight="1"/>
    <row r="13979" ht="15" customHeight="1"/>
    <row r="13980" ht="15" customHeight="1"/>
    <row r="13981" ht="15" customHeight="1"/>
    <row r="13982" ht="15" customHeight="1"/>
    <row r="13983" ht="15" customHeight="1"/>
    <row r="13984" ht="15" customHeight="1"/>
    <row r="13985" ht="15" customHeight="1"/>
    <row r="13986" ht="15" customHeight="1"/>
    <row r="13987" ht="15" customHeight="1"/>
    <row r="13988" ht="15" customHeight="1"/>
    <row r="13989" ht="15" customHeight="1"/>
    <row r="13990" ht="15" customHeight="1"/>
    <row r="13991" ht="15" customHeight="1"/>
    <row r="13992" ht="15" customHeight="1"/>
    <row r="13993" ht="15" customHeight="1"/>
    <row r="13994" ht="15" customHeight="1"/>
    <row r="13995" ht="15" customHeight="1"/>
    <row r="13996" ht="15" customHeight="1"/>
    <row r="13997" ht="15" customHeight="1"/>
    <row r="13998" ht="15" customHeight="1"/>
    <row r="13999" ht="15" customHeight="1"/>
    <row r="14000" ht="15" customHeight="1"/>
    <row r="14001" ht="15" customHeight="1"/>
    <row r="14002" ht="15" customHeight="1"/>
    <row r="14003" ht="15" customHeight="1"/>
    <row r="14004" ht="15" customHeight="1"/>
    <row r="14005" ht="15" customHeight="1"/>
    <row r="14006" ht="15" customHeight="1"/>
    <row r="14007" ht="15" customHeight="1"/>
    <row r="14008" ht="15" customHeight="1"/>
    <row r="14009" ht="15" customHeight="1"/>
    <row r="14010" ht="15" customHeight="1"/>
    <row r="14011" ht="15" customHeight="1"/>
    <row r="14012" ht="15" customHeight="1"/>
    <row r="14013" ht="15" customHeight="1"/>
    <row r="14014" ht="15" customHeight="1"/>
    <row r="14015" ht="15" customHeight="1"/>
    <row r="14016" ht="15" customHeight="1"/>
    <row r="14017" ht="15" customHeight="1"/>
    <row r="14018" ht="15" customHeight="1"/>
    <row r="14019" ht="15" customHeight="1"/>
    <row r="14020" ht="15" customHeight="1"/>
    <row r="14021" ht="15" customHeight="1"/>
    <row r="14022" ht="15" customHeight="1"/>
    <row r="14023" ht="15" customHeight="1"/>
    <row r="14024" ht="15" customHeight="1"/>
    <row r="14025" ht="15" customHeight="1"/>
    <row r="14026" ht="15" customHeight="1"/>
    <row r="14027" ht="15" customHeight="1"/>
    <row r="14028" ht="15" customHeight="1"/>
    <row r="14029" ht="15" customHeight="1"/>
    <row r="14030" ht="15" customHeight="1"/>
    <row r="14031" ht="15" customHeight="1"/>
    <row r="14032" ht="15" customHeight="1"/>
    <row r="14033" ht="15" customHeight="1"/>
    <row r="14034" ht="15" customHeight="1"/>
    <row r="14035" ht="15" customHeight="1"/>
    <row r="14036" ht="15" customHeight="1"/>
    <row r="14037" ht="15" customHeight="1"/>
    <row r="14038" ht="15" customHeight="1"/>
    <row r="14039" ht="15" customHeight="1"/>
    <row r="14040" ht="15" customHeight="1"/>
    <row r="14041" ht="15" customHeight="1"/>
    <row r="14042" ht="15" customHeight="1"/>
    <row r="14043" ht="15" customHeight="1"/>
    <row r="14044" ht="15" customHeight="1"/>
    <row r="14045" ht="15" customHeight="1"/>
    <row r="14046" ht="15" customHeight="1"/>
    <row r="14047" ht="15" customHeight="1"/>
    <row r="14048" ht="15" customHeight="1"/>
    <row r="14049" ht="15" customHeight="1"/>
    <row r="14050" ht="15" customHeight="1"/>
    <row r="14051" ht="15" customHeight="1"/>
    <row r="14052" ht="15" customHeight="1"/>
    <row r="14053" ht="15" customHeight="1"/>
    <row r="14054" ht="15" customHeight="1"/>
    <row r="14055" ht="15" customHeight="1"/>
    <row r="14056" ht="15" customHeight="1"/>
    <row r="14057" ht="15" customHeight="1"/>
    <row r="14058" ht="15" customHeight="1"/>
    <row r="14059" ht="15" customHeight="1"/>
    <row r="14060" ht="15" customHeight="1"/>
    <row r="14061" ht="15" customHeight="1"/>
    <row r="14062" ht="15" customHeight="1"/>
    <row r="14063" ht="15" customHeight="1"/>
    <row r="14064" ht="15" customHeight="1"/>
    <row r="14065" ht="15" customHeight="1"/>
    <row r="14066" ht="15" customHeight="1"/>
    <row r="14067" ht="15" customHeight="1"/>
    <row r="14068" ht="15" customHeight="1"/>
    <row r="14069" ht="15" customHeight="1"/>
    <row r="14070" ht="15" customHeight="1"/>
    <row r="14071" ht="15" customHeight="1"/>
    <row r="14072" ht="15" customHeight="1"/>
    <row r="14073" ht="15" customHeight="1"/>
    <row r="14074" ht="15" customHeight="1"/>
    <row r="14075" ht="15" customHeight="1"/>
    <row r="14076" ht="15" customHeight="1"/>
    <row r="14077" ht="15" customHeight="1"/>
    <row r="14078" ht="15" customHeight="1"/>
    <row r="14079" ht="15" customHeight="1"/>
    <row r="14080" ht="15" customHeight="1"/>
    <row r="14081" ht="15" customHeight="1"/>
    <row r="14082" ht="15" customHeight="1"/>
    <row r="14083" ht="15" customHeight="1"/>
    <row r="14084" ht="15" customHeight="1"/>
    <row r="14085" ht="15" customHeight="1"/>
    <row r="14086" ht="15" customHeight="1"/>
    <row r="14087" ht="15" customHeight="1"/>
    <row r="14088" ht="15" customHeight="1"/>
    <row r="14089" ht="15" customHeight="1"/>
    <row r="14090" ht="15" customHeight="1"/>
    <row r="14091" ht="15" customHeight="1"/>
    <row r="14092" ht="15" customHeight="1"/>
    <row r="14093" ht="15" customHeight="1"/>
    <row r="14094" ht="15" customHeight="1"/>
    <row r="14095" ht="15" customHeight="1"/>
    <row r="14096" ht="15" customHeight="1"/>
    <row r="14097" ht="15" customHeight="1"/>
    <row r="14098" ht="15" customHeight="1"/>
    <row r="14099" ht="15" customHeight="1"/>
    <row r="14100" ht="15" customHeight="1"/>
    <row r="14101" ht="15" customHeight="1"/>
    <row r="14102" ht="15" customHeight="1"/>
    <row r="14103" ht="15" customHeight="1"/>
    <row r="14104" ht="15" customHeight="1"/>
    <row r="14105" ht="15" customHeight="1"/>
    <row r="14106" ht="15" customHeight="1"/>
    <row r="14107" ht="15" customHeight="1"/>
    <row r="14108" ht="15" customHeight="1"/>
    <row r="14109" ht="15" customHeight="1"/>
    <row r="14110" ht="15" customHeight="1"/>
    <row r="14111" ht="15" customHeight="1"/>
    <row r="14112" ht="15" customHeight="1"/>
    <row r="14113" ht="15" customHeight="1"/>
    <row r="14114" ht="15" customHeight="1"/>
    <row r="14115" ht="15" customHeight="1"/>
    <row r="14116" ht="15" customHeight="1"/>
    <row r="14117" ht="15" customHeight="1"/>
    <row r="14118" ht="15" customHeight="1"/>
    <row r="14119" ht="15" customHeight="1"/>
    <row r="14120" ht="15" customHeight="1"/>
    <row r="14121" ht="15" customHeight="1"/>
    <row r="14122" ht="15" customHeight="1"/>
    <row r="14123" ht="15" customHeight="1"/>
    <row r="14124" ht="15" customHeight="1"/>
    <row r="14125" ht="15" customHeight="1"/>
    <row r="14126" ht="15" customHeight="1"/>
    <row r="14127" ht="15" customHeight="1"/>
    <row r="14128" ht="15" customHeight="1"/>
    <row r="14129" ht="15" customHeight="1"/>
    <row r="14130" ht="15" customHeight="1"/>
    <row r="14131" ht="15" customHeight="1"/>
    <row r="14132" ht="15" customHeight="1"/>
    <row r="14133" ht="15" customHeight="1"/>
    <row r="14134" ht="15" customHeight="1"/>
    <row r="14135" ht="15" customHeight="1"/>
    <row r="14136" ht="15" customHeight="1"/>
    <row r="14137" ht="15" customHeight="1"/>
    <row r="14138" ht="15" customHeight="1"/>
    <row r="14139" ht="15" customHeight="1"/>
    <row r="14140" ht="15" customHeight="1"/>
    <row r="14141" ht="15" customHeight="1"/>
    <row r="14142" ht="15" customHeight="1"/>
    <row r="14143" ht="15" customHeight="1"/>
    <row r="14144" ht="15" customHeight="1"/>
    <row r="14145" ht="15" customHeight="1"/>
    <row r="14146" ht="15" customHeight="1"/>
    <row r="14147" ht="15" customHeight="1"/>
    <row r="14148" ht="15" customHeight="1"/>
    <row r="14149" ht="15" customHeight="1"/>
    <row r="14150" ht="15" customHeight="1"/>
    <row r="14151" ht="15" customHeight="1"/>
    <row r="14152" ht="15" customHeight="1"/>
    <row r="14153" ht="15" customHeight="1"/>
    <row r="14154" ht="15" customHeight="1"/>
    <row r="14155" ht="15" customHeight="1"/>
    <row r="14156" ht="15" customHeight="1"/>
    <row r="14157" ht="15" customHeight="1"/>
    <row r="14158" ht="15" customHeight="1"/>
    <row r="14159" ht="15" customHeight="1"/>
    <row r="14160" ht="15" customHeight="1"/>
    <row r="14161" ht="15" customHeight="1"/>
    <row r="14162" ht="15" customHeight="1"/>
    <row r="14163" ht="15" customHeight="1"/>
    <row r="14164" ht="15" customHeight="1"/>
    <row r="14165" ht="15" customHeight="1"/>
    <row r="14166" ht="15" customHeight="1"/>
    <row r="14167" ht="15" customHeight="1"/>
    <row r="14168" ht="15" customHeight="1"/>
    <row r="14169" ht="15" customHeight="1"/>
    <row r="14170" ht="15" customHeight="1"/>
    <row r="14171" ht="15" customHeight="1"/>
    <row r="14172" ht="15" customHeight="1"/>
    <row r="14173" ht="15" customHeight="1"/>
    <row r="14174" ht="15" customHeight="1"/>
    <row r="14175" ht="15" customHeight="1"/>
    <row r="14176" ht="15" customHeight="1"/>
    <row r="14177" ht="15" customHeight="1"/>
    <row r="14178" ht="15" customHeight="1"/>
    <row r="14179" ht="15" customHeight="1"/>
    <row r="14180" ht="15" customHeight="1"/>
    <row r="14181" ht="15" customHeight="1"/>
    <row r="14182" ht="15" customHeight="1"/>
    <row r="14183" ht="15" customHeight="1"/>
    <row r="14184" ht="15" customHeight="1"/>
    <row r="14185" ht="15" customHeight="1"/>
    <row r="14186" ht="15" customHeight="1"/>
    <row r="14187" ht="15" customHeight="1"/>
    <row r="14188" ht="15" customHeight="1"/>
    <row r="14189" ht="15" customHeight="1"/>
    <row r="14190" ht="15" customHeight="1"/>
    <row r="14191" ht="15" customHeight="1"/>
    <row r="14192" ht="15" customHeight="1"/>
    <row r="14193" ht="15" customHeight="1"/>
    <row r="14194" ht="15" customHeight="1"/>
    <row r="14195" ht="15" customHeight="1"/>
    <row r="14196" ht="15" customHeight="1"/>
    <row r="14197" ht="15" customHeight="1"/>
    <row r="14198" ht="15" customHeight="1"/>
    <row r="14199" ht="15" customHeight="1"/>
    <row r="14200" ht="15" customHeight="1"/>
    <row r="14201" ht="15" customHeight="1"/>
    <row r="14202" ht="15" customHeight="1"/>
    <row r="14203" ht="15" customHeight="1"/>
    <row r="14204" ht="15" customHeight="1"/>
    <row r="14205" ht="15" customHeight="1"/>
    <row r="14206" ht="15" customHeight="1"/>
    <row r="14207" ht="15" customHeight="1"/>
    <row r="14208" ht="15" customHeight="1"/>
    <row r="14209" ht="15" customHeight="1"/>
    <row r="14210" ht="15" customHeight="1"/>
    <row r="14211" ht="15" customHeight="1"/>
    <row r="14212" ht="15" customHeight="1"/>
    <row r="14213" ht="15" customHeight="1"/>
    <row r="14214" ht="15" customHeight="1"/>
    <row r="14215" ht="15" customHeight="1"/>
    <row r="14216" ht="15" customHeight="1"/>
    <row r="14217" ht="15" customHeight="1"/>
    <row r="14218" ht="15" customHeight="1"/>
    <row r="14219" ht="15" customHeight="1"/>
    <row r="14220" ht="15" customHeight="1"/>
    <row r="14221" ht="15" customHeight="1"/>
    <row r="14222" ht="15" customHeight="1"/>
    <row r="14223" ht="15" customHeight="1"/>
    <row r="14224" ht="15" customHeight="1"/>
    <row r="14225" ht="15" customHeight="1"/>
    <row r="14226" ht="15" customHeight="1"/>
    <row r="14227" ht="15" customHeight="1"/>
    <row r="14228" ht="15" customHeight="1"/>
    <row r="14229" ht="15" customHeight="1"/>
    <row r="14230" ht="15" customHeight="1"/>
    <row r="14231" ht="15" customHeight="1"/>
    <row r="14232" ht="15" customHeight="1"/>
    <row r="14233" ht="15" customHeight="1"/>
    <row r="14234" ht="15" customHeight="1"/>
    <row r="14235" ht="15" customHeight="1"/>
    <row r="14236" ht="15" customHeight="1"/>
    <row r="14237" ht="15" customHeight="1"/>
    <row r="14238" ht="15" customHeight="1"/>
    <row r="14239" ht="15" customHeight="1"/>
    <row r="14240" ht="15" customHeight="1"/>
    <row r="14241" ht="15" customHeight="1"/>
    <row r="14242" ht="15" customHeight="1"/>
    <row r="14243" ht="15" customHeight="1"/>
    <row r="14244" ht="15" customHeight="1"/>
    <row r="14245" ht="15" customHeight="1"/>
    <row r="14246" ht="15" customHeight="1"/>
    <row r="14247" ht="15" customHeight="1"/>
    <row r="14248" ht="15" customHeight="1"/>
    <row r="14249" ht="15" customHeight="1"/>
    <row r="14250" ht="15" customHeight="1"/>
    <row r="14251" ht="15" customHeight="1"/>
    <row r="14252" ht="15" customHeight="1"/>
    <row r="14253" ht="15" customHeight="1"/>
    <row r="14254" ht="15" customHeight="1"/>
    <row r="14255" ht="15" customHeight="1"/>
    <row r="14256" ht="15" customHeight="1"/>
    <row r="14257" ht="15" customHeight="1"/>
    <row r="14258" ht="15" customHeight="1"/>
    <row r="14259" ht="15" customHeight="1"/>
    <row r="14260" ht="15" customHeight="1"/>
    <row r="14261" ht="15" customHeight="1"/>
    <row r="14262" ht="15" customHeight="1"/>
    <row r="14263" ht="15" customHeight="1"/>
    <row r="14264" ht="15" customHeight="1"/>
    <row r="14265" ht="15" customHeight="1"/>
    <row r="14266" ht="15" customHeight="1"/>
    <row r="14267" ht="15" customHeight="1"/>
    <row r="14268" ht="15" customHeight="1"/>
    <row r="14269" ht="15" customHeight="1"/>
    <row r="14270" ht="15" customHeight="1"/>
    <row r="14271" ht="15" customHeight="1"/>
    <row r="14272" ht="15" customHeight="1"/>
    <row r="14273" ht="15" customHeight="1"/>
    <row r="14274" ht="15" customHeight="1"/>
    <row r="14275" ht="15" customHeight="1"/>
    <row r="14276" ht="15" customHeight="1"/>
    <row r="14277" ht="15" customHeight="1"/>
    <row r="14278" ht="15" customHeight="1"/>
    <row r="14279" ht="15" customHeight="1"/>
    <row r="14280" ht="15" customHeight="1"/>
    <row r="14281" ht="15" customHeight="1"/>
    <row r="14282" ht="15" customHeight="1"/>
    <row r="14283" ht="15" customHeight="1"/>
    <row r="14284" ht="15" customHeight="1"/>
    <row r="14285" ht="15" customHeight="1"/>
    <row r="14286" ht="15" customHeight="1"/>
    <row r="14287" ht="15" customHeight="1"/>
    <row r="14288" ht="15" customHeight="1"/>
    <row r="14289" ht="15" customHeight="1"/>
    <row r="14290" ht="15" customHeight="1"/>
    <row r="14291" ht="15" customHeight="1"/>
    <row r="14292" ht="15" customHeight="1"/>
    <row r="14293" ht="15" customHeight="1"/>
    <row r="14294" ht="15" customHeight="1"/>
    <row r="14295" ht="15" customHeight="1"/>
    <row r="14296" ht="15" customHeight="1"/>
    <row r="14297" ht="15" customHeight="1"/>
    <row r="14298" ht="15" customHeight="1"/>
    <row r="14299" ht="15" customHeight="1"/>
    <row r="14300" ht="15" customHeight="1"/>
    <row r="14301" ht="15" customHeight="1"/>
    <row r="14302" ht="15" customHeight="1"/>
    <row r="14303" ht="15" customHeight="1"/>
    <row r="14304" ht="15" customHeight="1"/>
    <row r="14305" ht="15" customHeight="1"/>
    <row r="14306" ht="15" customHeight="1"/>
    <row r="14307" ht="15" customHeight="1"/>
    <row r="14308" ht="15" customHeight="1"/>
    <row r="14309" ht="15" customHeight="1"/>
    <row r="14310" ht="15" customHeight="1"/>
    <row r="14311" ht="15" customHeight="1"/>
    <row r="14312" ht="15" customHeight="1"/>
    <row r="14313" ht="15" customHeight="1"/>
    <row r="14314" ht="15" customHeight="1"/>
    <row r="14315" ht="15" customHeight="1"/>
    <row r="14316" ht="15" customHeight="1"/>
    <row r="14317" ht="15" customHeight="1"/>
    <row r="14318" ht="15" customHeight="1"/>
    <row r="14319" ht="15" customHeight="1"/>
    <row r="14320" ht="15" customHeight="1"/>
    <row r="14321" ht="15" customHeight="1"/>
    <row r="14322" ht="15" customHeight="1"/>
    <row r="14323" ht="15" customHeight="1"/>
    <row r="14324" ht="15" customHeight="1"/>
    <row r="14325" ht="15" customHeight="1"/>
    <row r="14326" ht="15" customHeight="1"/>
    <row r="14327" ht="15" customHeight="1"/>
    <row r="14328" ht="15" customHeight="1"/>
    <row r="14329" ht="15" customHeight="1"/>
    <row r="14330" ht="15" customHeight="1"/>
    <row r="14331" ht="15" customHeight="1"/>
    <row r="14332" ht="15" customHeight="1"/>
    <row r="14333" ht="15" customHeight="1"/>
    <row r="14334" ht="15" customHeight="1"/>
    <row r="14335" ht="15" customHeight="1"/>
    <row r="14336" ht="15" customHeight="1"/>
    <row r="14337" ht="15" customHeight="1"/>
    <row r="14338" ht="15" customHeight="1"/>
    <row r="14339" ht="15" customHeight="1"/>
    <row r="14340" ht="15" customHeight="1"/>
    <row r="14341" ht="15" customHeight="1"/>
    <row r="14342" ht="15" customHeight="1"/>
    <row r="14343" ht="15" customHeight="1"/>
    <row r="14344" ht="15" customHeight="1"/>
    <row r="14345" ht="15" customHeight="1"/>
    <row r="14346" ht="15" customHeight="1"/>
    <row r="14347" ht="15" customHeight="1"/>
    <row r="14348" ht="15" customHeight="1"/>
    <row r="14349" ht="15" customHeight="1"/>
    <row r="14350" ht="15" customHeight="1"/>
    <row r="14351" ht="15" customHeight="1"/>
    <row r="14352" ht="15" customHeight="1"/>
    <row r="14353" ht="15" customHeight="1"/>
    <row r="14354" ht="15" customHeight="1"/>
    <row r="14355" ht="15" customHeight="1"/>
    <row r="14356" ht="15" customHeight="1"/>
    <row r="14357" ht="15" customHeight="1"/>
    <row r="14358" ht="15" customHeight="1"/>
    <row r="14359" ht="15" customHeight="1"/>
    <row r="14360" ht="15" customHeight="1"/>
    <row r="14361" ht="15" customHeight="1"/>
    <row r="14362" ht="15" customHeight="1"/>
    <row r="14363" ht="15" customHeight="1"/>
    <row r="14364" ht="15" customHeight="1"/>
    <row r="14365" ht="15" customHeight="1"/>
    <row r="14366" ht="15" customHeight="1"/>
    <row r="14367" ht="15" customHeight="1"/>
    <row r="14368" ht="15" customHeight="1"/>
    <row r="14369" ht="15" customHeight="1"/>
    <row r="14370" ht="15" customHeight="1"/>
    <row r="14371" ht="15" customHeight="1"/>
    <row r="14372" ht="15" customHeight="1"/>
    <row r="14373" ht="15" customHeight="1"/>
    <row r="14374" ht="15" customHeight="1"/>
    <row r="14375" ht="15" customHeight="1"/>
    <row r="14376" ht="15" customHeight="1"/>
    <row r="14377" ht="15" customHeight="1"/>
    <row r="14378" ht="15" customHeight="1"/>
    <row r="14379" ht="15" customHeight="1"/>
    <row r="14380" ht="15" customHeight="1"/>
    <row r="14381" ht="15" customHeight="1"/>
    <row r="14382" ht="15" customHeight="1"/>
    <row r="14383" ht="15" customHeight="1"/>
    <row r="14384" ht="15" customHeight="1"/>
    <row r="14385" ht="15" customHeight="1"/>
    <row r="14386" ht="15" customHeight="1"/>
    <row r="14387" ht="15" customHeight="1"/>
    <row r="14388" ht="15" customHeight="1"/>
    <row r="14389" ht="15" customHeight="1"/>
    <row r="14390" ht="15" customHeight="1"/>
    <row r="14391" ht="15" customHeight="1"/>
    <row r="14392" ht="15" customHeight="1"/>
    <row r="14393" ht="15" customHeight="1"/>
    <row r="14394" ht="15" customHeight="1"/>
    <row r="14395" ht="15" customHeight="1"/>
    <row r="14396" ht="15" customHeight="1"/>
    <row r="14397" ht="15" customHeight="1"/>
    <row r="14398" ht="15" customHeight="1"/>
    <row r="14399" ht="15" customHeight="1"/>
    <row r="14400" ht="15" customHeight="1"/>
    <row r="14401" ht="15" customHeight="1"/>
    <row r="14402" ht="15" customHeight="1"/>
    <row r="14403" ht="15" customHeight="1"/>
    <row r="14404" ht="15" customHeight="1"/>
    <row r="14405" ht="15" customHeight="1"/>
    <row r="14406" ht="15" customHeight="1"/>
    <row r="14407" ht="15" customHeight="1"/>
    <row r="14408" ht="15" customHeight="1"/>
    <row r="14409" ht="15" customHeight="1"/>
    <row r="14410" ht="15" customHeight="1"/>
    <row r="14411" ht="15" customHeight="1"/>
    <row r="14412" ht="15" customHeight="1"/>
    <row r="14413" ht="15" customHeight="1"/>
    <row r="14414" ht="15" customHeight="1"/>
    <row r="14415" ht="15" customHeight="1"/>
    <row r="14416" ht="15" customHeight="1"/>
    <row r="14417" ht="15" customHeight="1"/>
    <row r="14418" ht="15" customHeight="1"/>
    <row r="14419" ht="15" customHeight="1"/>
    <row r="14420" ht="15" customHeight="1"/>
    <row r="14421" ht="15" customHeight="1"/>
    <row r="14422" ht="15" customHeight="1"/>
    <row r="14423" ht="15" customHeight="1"/>
    <row r="14424" ht="15" customHeight="1"/>
    <row r="14425" ht="15" customHeight="1"/>
    <row r="14426" ht="15" customHeight="1"/>
    <row r="14427" ht="15" customHeight="1"/>
    <row r="14428" ht="15" customHeight="1"/>
    <row r="14429" ht="15" customHeight="1"/>
    <row r="14430" ht="15" customHeight="1"/>
    <row r="14431" ht="15" customHeight="1"/>
    <row r="14432" ht="15" customHeight="1"/>
    <row r="14433" ht="15" customHeight="1"/>
    <row r="14434" ht="15" customHeight="1"/>
    <row r="14435" ht="15" customHeight="1"/>
    <row r="14436" ht="15" customHeight="1"/>
    <row r="14437" ht="15" customHeight="1"/>
    <row r="14438" ht="15" customHeight="1"/>
    <row r="14439" ht="15" customHeight="1"/>
    <row r="14440" ht="15" customHeight="1"/>
    <row r="14441" ht="15" customHeight="1"/>
    <row r="14442" ht="15" customHeight="1"/>
    <row r="14443" ht="15" customHeight="1"/>
    <row r="14444" ht="15" customHeight="1"/>
    <row r="14445" ht="15" customHeight="1"/>
    <row r="14446" ht="15" customHeight="1"/>
    <row r="14447" ht="15" customHeight="1"/>
    <row r="14448" ht="15" customHeight="1"/>
    <row r="14449" ht="15" customHeight="1"/>
    <row r="14450" ht="15" customHeight="1"/>
    <row r="14451" ht="15" customHeight="1"/>
    <row r="14452" ht="15" customHeight="1"/>
    <row r="14453" ht="15" customHeight="1"/>
    <row r="14454" ht="15" customHeight="1"/>
    <row r="14455" ht="15" customHeight="1"/>
    <row r="14456" ht="15" customHeight="1"/>
    <row r="14457" ht="15" customHeight="1"/>
    <row r="14458" ht="15" customHeight="1"/>
    <row r="14459" ht="15" customHeight="1"/>
    <row r="14460" ht="15" customHeight="1"/>
    <row r="14461" ht="15" customHeight="1"/>
    <row r="14462" ht="15" customHeight="1"/>
    <row r="14463" ht="15" customHeight="1"/>
    <row r="14464" ht="15" customHeight="1"/>
    <row r="14465" ht="15" customHeight="1"/>
    <row r="14466" ht="15" customHeight="1"/>
    <row r="14467" ht="15" customHeight="1"/>
    <row r="14468" ht="15" customHeight="1"/>
    <row r="14469" ht="15" customHeight="1"/>
    <row r="14470" ht="15" customHeight="1"/>
    <row r="14471" ht="15" customHeight="1"/>
    <row r="14472" ht="15" customHeight="1"/>
    <row r="14473" ht="15" customHeight="1"/>
    <row r="14474" ht="15" customHeight="1"/>
    <row r="14475" ht="15" customHeight="1"/>
    <row r="14476" ht="15" customHeight="1"/>
    <row r="14477" ht="15" customHeight="1"/>
    <row r="14478" ht="15" customHeight="1"/>
    <row r="14479" ht="15" customHeight="1"/>
    <row r="14480" ht="15" customHeight="1"/>
    <row r="14481" ht="15" customHeight="1"/>
    <row r="14482" ht="15" customHeight="1"/>
    <row r="14483" ht="15" customHeight="1"/>
    <row r="14484" ht="15" customHeight="1"/>
    <row r="14485" ht="15" customHeight="1"/>
    <row r="14486" ht="15" customHeight="1"/>
    <row r="14487" ht="15" customHeight="1"/>
    <row r="14488" ht="15" customHeight="1"/>
    <row r="14489" ht="15" customHeight="1"/>
    <row r="14490" ht="15" customHeight="1"/>
    <row r="14491" ht="15" customHeight="1"/>
    <row r="14492" ht="15" customHeight="1"/>
    <row r="14493" ht="15" customHeight="1"/>
    <row r="14494" ht="15" customHeight="1"/>
    <row r="14495" ht="15" customHeight="1"/>
    <row r="14496" ht="15" customHeight="1"/>
    <row r="14497" ht="15" customHeight="1"/>
    <row r="14498" ht="15" customHeight="1"/>
    <row r="14499" ht="15" customHeight="1"/>
    <row r="14500" ht="15" customHeight="1"/>
    <row r="14501" ht="15" customHeight="1"/>
    <row r="14502" ht="15" customHeight="1"/>
    <row r="14503" ht="15" customHeight="1"/>
    <row r="14504" ht="15" customHeight="1"/>
    <row r="14505" ht="15" customHeight="1"/>
    <row r="14506" ht="15" customHeight="1"/>
    <row r="14507" ht="15" customHeight="1"/>
    <row r="14508" ht="15" customHeight="1"/>
    <row r="14509" ht="15" customHeight="1"/>
    <row r="14510" ht="15" customHeight="1"/>
    <row r="14511" ht="15" customHeight="1"/>
    <row r="14512" ht="15" customHeight="1"/>
    <row r="14513" ht="15" customHeight="1"/>
    <row r="14514" ht="15" customHeight="1"/>
    <row r="14515" ht="15" customHeight="1"/>
    <row r="14516" ht="15" customHeight="1"/>
    <row r="14517" ht="15" customHeight="1"/>
    <row r="14518" ht="15" customHeight="1"/>
    <row r="14519" ht="15" customHeight="1"/>
    <row r="14520" ht="15" customHeight="1"/>
    <row r="14521" ht="15" customHeight="1"/>
    <row r="14522" ht="15" customHeight="1"/>
    <row r="14523" ht="15" customHeight="1"/>
    <row r="14524" ht="15" customHeight="1"/>
    <row r="14525" ht="15" customHeight="1"/>
    <row r="14526" ht="15" customHeight="1"/>
    <row r="14527" ht="15" customHeight="1"/>
    <row r="14528" ht="15" customHeight="1"/>
    <row r="14529" ht="15" customHeight="1"/>
    <row r="14530" ht="15" customHeight="1"/>
    <row r="14531" ht="15" customHeight="1"/>
    <row r="14532" ht="15" customHeight="1"/>
    <row r="14533" ht="15" customHeight="1"/>
    <row r="14534" ht="15" customHeight="1"/>
    <row r="14535" ht="15" customHeight="1"/>
    <row r="14536" ht="15" customHeight="1"/>
    <row r="14537" ht="15" customHeight="1"/>
    <row r="14538" ht="15" customHeight="1"/>
    <row r="14539" ht="15" customHeight="1"/>
    <row r="14540" ht="15" customHeight="1"/>
    <row r="14541" ht="15" customHeight="1"/>
    <row r="14542" ht="15" customHeight="1"/>
    <row r="14543" ht="15" customHeight="1"/>
    <row r="14544" ht="15" customHeight="1"/>
    <row r="14545" ht="15" customHeight="1"/>
    <row r="14546" ht="15" customHeight="1"/>
    <row r="14547" ht="15" customHeight="1"/>
    <row r="14548" ht="15" customHeight="1"/>
    <row r="14549" ht="15" customHeight="1"/>
    <row r="14550" ht="15" customHeight="1"/>
    <row r="14551" ht="15" customHeight="1"/>
    <row r="14552" ht="15" customHeight="1"/>
    <row r="14553" ht="15" customHeight="1"/>
    <row r="14554" ht="15" customHeight="1"/>
    <row r="14555" ht="15" customHeight="1"/>
    <row r="14556" ht="15" customHeight="1"/>
    <row r="14557" ht="15" customHeight="1"/>
    <row r="14558" ht="15" customHeight="1"/>
    <row r="14559" ht="15" customHeight="1"/>
    <row r="14560" ht="15" customHeight="1"/>
    <row r="14561" ht="15" customHeight="1"/>
    <row r="14562" ht="15" customHeight="1"/>
    <row r="14563" ht="15" customHeight="1"/>
    <row r="14564" ht="15" customHeight="1"/>
    <row r="14565" ht="15" customHeight="1"/>
    <row r="14566" ht="15" customHeight="1"/>
    <row r="14567" ht="15" customHeight="1"/>
    <row r="14568" ht="15" customHeight="1"/>
    <row r="14569" ht="15" customHeight="1"/>
    <row r="14570" ht="15" customHeight="1"/>
    <row r="14571" ht="15" customHeight="1"/>
    <row r="14572" ht="15" customHeight="1"/>
    <row r="14573" ht="15" customHeight="1"/>
    <row r="14574" ht="15" customHeight="1"/>
    <row r="14575" ht="15" customHeight="1"/>
    <row r="14576" ht="15" customHeight="1"/>
    <row r="14577" ht="15" customHeight="1"/>
    <row r="14578" ht="15" customHeight="1"/>
    <row r="14579" ht="15" customHeight="1"/>
    <row r="14580" ht="15" customHeight="1"/>
    <row r="14581" ht="15" customHeight="1"/>
    <row r="14582" ht="15" customHeight="1"/>
    <row r="14583" ht="15" customHeight="1"/>
    <row r="14584" ht="15" customHeight="1"/>
    <row r="14585" ht="15" customHeight="1"/>
    <row r="14586" ht="15" customHeight="1"/>
    <row r="14587" ht="15" customHeight="1"/>
    <row r="14588" ht="15" customHeight="1"/>
    <row r="14589" ht="15" customHeight="1"/>
    <row r="14590" ht="15" customHeight="1"/>
    <row r="14591" ht="15" customHeight="1"/>
    <row r="14592" ht="15" customHeight="1"/>
    <row r="14593" ht="15" customHeight="1"/>
    <row r="14594" ht="15" customHeight="1"/>
    <row r="14595" ht="15" customHeight="1"/>
    <row r="14596" ht="15" customHeight="1"/>
    <row r="14597" ht="15" customHeight="1"/>
    <row r="14598" ht="15" customHeight="1"/>
    <row r="14599" ht="15" customHeight="1"/>
    <row r="14600" ht="15" customHeight="1"/>
    <row r="14601" ht="15" customHeight="1"/>
    <row r="14602" ht="15" customHeight="1"/>
    <row r="14603" ht="15" customHeight="1"/>
    <row r="14604" ht="15" customHeight="1"/>
    <row r="14605" ht="15" customHeight="1"/>
    <row r="14606" ht="15" customHeight="1"/>
    <row r="14607" ht="15" customHeight="1"/>
    <row r="14608" ht="15" customHeight="1"/>
    <row r="14609" ht="15" customHeight="1"/>
    <row r="14610" ht="15" customHeight="1"/>
    <row r="14611" ht="15" customHeight="1"/>
    <row r="14612" ht="15" customHeight="1"/>
    <row r="14613" ht="15" customHeight="1"/>
    <row r="14614" ht="15" customHeight="1"/>
    <row r="14615" ht="15" customHeight="1"/>
    <row r="14616" ht="15" customHeight="1"/>
    <row r="14617" ht="15" customHeight="1"/>
    <row r="14618" ht="15" customHeight="1"/>
    <row r="14619" ht="15" customHeight="1"/>
    <row r="14620" ht="15" customHeight="1"/>
    <row r="14621" ht="15" customHeight="1"/>
    <row r="14622" ht="15" customHeight="1"/>
    <row r="14623" ht="15" customHeight="1"/>
    <row r="14624" ht="15" customHeight="1"/>
    <row r="14625" ht="15" customHeight="1"/>
    <row r="14626" ht="15" customHeight="1"/>
    <row r="14627" ht="15" customHeight="1"/>
    <row r="14628" ht="15" customHeight="1"/>
    <row r="14629" ht="15" customHeight="1"/>
    <row r="14630" ht="15" customHeight="1"/>
    <row r="14631" ht="15" customHeight="1"/>
    <row r="14632" ht="15" customHeight="1"/>
    <row r="14633" ht="15" customHeight="1"/>
    <row r="14634" ht="15" customHeight="1"/>
    <row r="14635" ht="15" customHeight="1"/>
    <row r="14636" ht="15" customHeight="1"/>
    <row r="14637" ht="15" customHeight="1"/>
    <row r="14638" ht="15" customHeight="1"/>
    <row r="14639" ht="15" customHeight="1"/>
    <row r="14640" ht="15" customHeight="1"/>
    <row r="14641" ht="15" customHeight="1"/>
    <row r="14642" ht="15" customHeight="1"/>
    <row r="14643" ht="15" customHeight="1"/>
    <row r="14644" ht="15" customHeight="1"/>
    <row r="14645" ht="15" customHeight="1"/>
    <row r="14646" ht="15" customHeight="1"/>
    <row r="14647" ht="15" customHeight="1"/>
    <row r="14648" ht="15" customHeight="1"/>
    <row r="14649" ht="15" customHeight="1"/>
    <row r="14650" ht="15" customHeight="1"/>
    <row r="14651" ht="15" customHeight="1"/>
    <row r="14652" ht="15" customHeight="1"/>
    <row r="14653" ht="15" customHeight="1"/>
    <row r="14654" ht="15" customHeight="1"/>
    <row r="14655" ht="15" customHeight="1"/>
    <row r="14656" ht="15" customHeight="1"/>
    <row r="14657" ht="15" customHeight="1"/>
    <row r="14658" ht="15" customHeight="1"/>
    <row r="14659" ht="15" customHeight="1"/>
    <row r="14660" ht="15" customHeight="1"/>
    <row r="14661" ht="15" customHeight="1"/>
    <row r="14662" ht="15" customHeight="1"/>
    <row r="14663" ht="15" customHeight="1"/>
    <row r="14664" ht="15" customHeight="1"/>
    <row r="14665" ht="15" customHeight="1"/>
    <row r="14666" ht="15" customHeight="1"/>
    <row r="14667" ht="15" customHeight="1"/>
    <row r="14668" ht="15" customHeight="1"/>
    <row r="14669" ht="15" customHeight="1"/>
    <row r="14670" ht="15" customHeight="1"/>
    <row r="14671" ht="15" customHeight="1"/>
    <row r="14672" ht="15" customHeight="1"/>
    <row r="14673" ht="15" customHeight="1"/>
    <row r="14674" ht="15" customHeight="1"/>
    <row r="14675" ht="15" customHeight="1"/>
    <row r="14676" ht="15" customHeight="1"/>
    <row r="14677" ht="15" customHeight="1"/>
    <row r="14678" ht="15" customHeight="1"/>
    <row r="14679" ht="15" customHeight="1"/>
    <row r="14680" ht="15" customHeight="1"/>
    <row r="14681" ht="15" customHeight="1"/>
    <row r="14682" ht="15" customHeight="1"/>
    <row r="14683" ht="15" customHeight="1"/>
    <row r="14684" ht="15" customHeight="1"/>
    <row r="14685" ht="15" customHeight="1"/>
    <row r="14686" ht="15" customHeight="1"/>
    <row r="14687" ht="15" customHeight="1"/>
    <row r="14688" ht="15" customHeight="1"/>
    <row r="14689" ht="15" customHeight="1"/>
    <row r="14690" ht="15" customHeight="1"/>
    <row r="14691" ht="15" customHeight="1"/>
    <row r="14692" ht="15" customHeight="1"/>
    <row r="14693" ht="15" customHeight="1"/>
    <row r="14694" ht="15" customHeight="1"/>
    <row r="14695" ht="15" customHeight="1"/>
    <row r="14696" ht="15" customHeight="1"/>
    <row r="14697" ht="15" customHeight="1"/>
    <row r="14698" ht="15" customHeight="1"/>
    <row r="14699" ht="15" customHeight="1"/>
    <row r="14700" ht="15" customHeight="1"/>
    <row r="14701" ht="15" customHeight="1"/>
    <row r="14702" ht="15" customHeight="1"/>
    <row r="14703" ht="15" customHeight="1"/>
    <row r="14704" ht="15" customHeight="1"/>
    <row r="14705" ht="15" customHeight="1"/>
    <row r="14706" ht="15" customHeight="1"/>
    <row r="14707" ht="15" customHeight="1"/>
    <row r="14708" ht="15" customHeight="1"/>
    <row r="14709" ht="15" customHeight="1"/>
    <row r="14710" ht="15" customHeight="1"/>
    <row r="14711" ht="15" customHeight="1"/>
    <row r="14712" ht="15" customHeight="1"/>
    <row r="14713" ht="15" customHeight="1"/>
    <row r="14714" ht="15" customHeight="1"/>
    <row r="14715" ht="15" customHeight="1"/>
    <row r="14716" ht="15" customHeight="1"/>
    <row r="14717" ht="15" customHeight="1"/>
    <row r="14718" ht="15" customHeight="1"/>
    <row r="14719" ht="15" customHeight="1"/>
    <row r="14720" ht="15" customHeight="1"/>
    <row r="14721" ht="15" customHeight="1"/>
    <row r="14722" ht="15" customHeight="1"/>
    <row r="14723" ht="15" customHeight="1"/>
    <row r="14724" ht="15" customHeight="1"/>
    <row r="14725" ht="15" customHeight="1"/>
    <row r="14726" ht="15" customHeight="1"/>
    <row r="14727" ht="15" customHeight="1"/>
    <row r="14728" ht="15" customHeight="1"/>
    <row r="14729" ht="15" customHeight="1"/>
    <row r="14730" ht="15" customHeight="1"/>
    <row r="14731" ht="15" customHeight="1"/>
    <row r="14732" ht="15" customHeight="1"/>
    <row r="14733" ht="15" customHeight="1"/>
    <row r="14734" ht="15" customHeight="1"/>
    <row r="14735" ht="15" customHeight="1"/>
    <row r="14736" ht="15" customHeight="1"/>
    <row r="14737" ht="15" customHeight="1"/>
    <row r="14738" ht="15" customHeight="1"/>
    <row r="14739" ht="15" customHeight="1"/>
    <row r="14740" ht="15" customHeight="1"/>
    <row r="14741" ht="15" customHeight="1"/>
    <row r="14742" ht="15" customHeight="1"/>
    <row r="14743" ht="15" customHeight="1"/>
    <row r="14744" ht="15" customHeight="1"/>
    <row r="14745" ht="15" customHeight="1"/>
    <row r="14746" ht="15" customHeight="1"/>
    <row r="14747" ht="15" customHeight="1"/>
    <row r="14748" ht="15" customHeight="1"/>
    <row r="14749" ht="15" customHeight="1"/>
    <row r="14750" ht="15" customHeight="1"/>
    <row r="14751" ht="15" customHeight="1"/>
    <row r="14752" ht="15" customHeight="1"/>
    <row r="14753" ht="15" customHeight="1"/>
    <row r="14754" ht="15" customHeight="1"/>
    <row r="14755" ht="15" customHeight="1"/>
    <row r="14756" ht="15" customHeight="1"/>
    <row r="14757" ht="15" customHeight="1"/>
    <row r="14758" ht="15" customHeight="1"/>
    <row r="14759" ht="15" customHeight="1"/>
    <row r="14760" ht="15" customHeight="1"/>
    <row r="14761" ht="15" customHeight="1"/>
    <row r="14762" ht="15" customHeight="1"/>
    <row r="14763" ht="15" customHeight="1"/>
    <row r="14764" ht="15" customHeight="1"/>
    <row r="14765" ht="15" customHeight="1"/>
    <row r="14766" ht="15" customHeight="1"/>
    <row r="14767" ht="15" customHeight="1"/>
    <row r="14768" ht="15" customHeight="1"/>
    <row r="14769" ht="15" customHeight="1"/>
    <row r="14770" ht="15" customHeight="1"/>
    <row r="14771" ht="15" customHeight="1"/>
    <row r="14772" ht="15" customHeight="1"/>
    <row r="14773" ht="15" customHeight="1"/>
    <row r="14774" ht="15" customHeight="1"/>
    <row r="14775" ht="15" customHeight="1"/>
    <row r="14776" ht="15" customHeight="1"/>
    <row r="14777" ht="15" customHeight="1"/>
    <row r="14778" ht="15" customHeight="1"/>
    <row r="14779" ht="15" customHeight="1"/>
    <row r="14780" ht="15" customHeight="1"/>
    <row r="14781" ht="15" customHeight="1"/>
    <row r="14782" ht="15" customHeight="1"/>
    <row r="14783" ht="15" customHeight="1"/>
    <row r="14784" ht="15" customHeight="1"/>
    <row r="14785" ht="15" customHeight="1"/>
    <row r="14786" ht="15" customHeight="1"/>
    <row r="14787" ht="15" customHeight="1"/>
    <row r="14788" ht="15" customHeight="1"/>
    <row r="14789" ht="15" customHeight="1"/>
    <row r="14790" ht="15" customHeight="1"/>
    <row r="14791" ht="15" customHeight="1"/>
    <row r="14792" ht="15" customHeight="1"/>
    <row r="14793" ht="15" customHeight="1"/>
    <row r="14794" ht="15" customHeight="1"/>
    <row r="14795" ht="15" customHeight="1"/>
    <row r="14796" ht="15" customHeight="1"/>
    <row r="14797" ht="15" customHeight="1"/>
    <row r="14798" ht="15" customHeight="1"/>
    <row r="14799" ht="15" customHeight="1"/>
    <row r="14800" ht="15" customHeight="1"/>
    <row r="14801" ht="15" customHeight="1"/>
    <row r="14802" ht="15" customHeight="1"/>
    <row r="14803" ht="15" customHeight="1"/>
    <row r="14804" ht="15" customHeight="1"/>
    <row r="14805" ht="15" customHeight="1"/>
    <row r="14806" ht="15" customHeight="1"/>
    <row r="14807" ht="15" customHeight="1"/>
    <row r="14808" ht="15" customHeight="1"/>
    <row r="14809" ht="15" customHeight="1"/>
    <row r="14810" ht="15" customHeight="1"/>
    <row r="14811" ht="15" customHeight="1"/>
    <row r="14812" ht="15" customHeight="1"/>
    <row r="14813" ht="15" customHeight="1"/>
    <row r="14814" ht="15" customHeight="1"/>
    <row r="14815" ht="15" customHeight="1"/>
    <row r="14816" ht="15" customHeight="1"/>
    <row r="14817" ht="15" customHeight="1"/>
    <row r="14818" ht="15" customHeight="1"/>
    <row r="14819" ht="15" customHeight="1"/>
    <row r="14820" ht="15" customHeight="1"/>
    <row r="14821" ht="15" customHeight="1"/>
    <row r="14822" ht="15" customHeight="1"/>
    <row r="14823" ht="15" customHeight="1"/>
    <row r="14824" ht="15" customHeight="1"/>
    <row r="14825" ht="15" customHeight="1"/>
    <row r="14826" ht="15" customHeight="1"/>
    <row r="14827" ht="15" customHeight="1"/>
    <row r="14828" ht="15" customHeight="1"/>
    <row r="14829" ht="15" customHeight="1"/>
    <row r="14830" ht="15" customHeight="1"/>
    <row r="14831" ht="15" customHeight="1"/>
    <row r="14832" ht="15" customHeight="1"/>
    <row r="14833" ht="15" customHeight="1"/>
    <row r="14834" ht="15" customHeight="1"/>
    <row r="14835" ht="15" customHeight="1"/>
    <row r="14836" ht="15" customHeight="1"/>
    <row r="14837" ht="15" customHeight="1"/>
    <row r="14838" ht="15" customHeight="1"/>
    <row r="14839" ht="15" customHeight="1"/>
    <row r="14840" ht="15" customHeight="1"/>
    <row r="14841" ht="15" customHeight="1"/>
    <row r="14842" ht="15" customHeight="1"/>
    <row r="14843" ht="15" customHeight="1"/>
    <row r="14844" ht="15" customHeight="1"/>
    <row r="14845" ht="15" customHeight="1"/>
    <row r="14846" ht="15" customHeight="1"/>
    <row r="14847" ht="15" customHeight="1"/>
    <row r="14848" ht="15" customHeight="1"/>
    <row r="14849" ht="15" customHeight="1"/>
    <row r="14850" ht="15" customHeight="1"/>
    <row r="14851" ht="15" customHeight="1"/>
    <row r="14852" ht="15" customHeight="1"/>
    <row r="14853" ht="15" customHeight="1"/>
    <row r="14854" ht="15" customHeight="1"/>
    <row r="14855" ht="15" customHeight="1"/>
    <row r="14856" ht="15" customHeight="1"/>
    <row r="14857" ht="15" customHeight="1"/>
    <row r="14858" ht="15" customHeight="1"/>
    <row r="14859" ht="15" customHeight="1"/>
    <row r="14860" ht="15" customHeight="1"/>
    <row r="14861" ht="15" customHeight="1"/>
    <row r="14862" ht="15" customHeight="1"/>
    <row r="14863" ht="15" customHeight="1"/>
    <row r="14864" ht="15" customHeight="1"/>
    <row r="14865" ht="15" customHeight="1"/>
    <row r="14866" ht="15" customHeight="1"/>
    <row r="14867" ht="15" customHeight="1"/>
    <row r="14868" ht="15" customHeight="1"/>
    <row r="14869" ht="15" customHeight="1"/>
    <row r="14870" ht="15" customHeight="1"/>
    <row r="14871" ht="15" customHeight="1"/>
    <row r="14872" ht="15" customHeight="1"/>
    <row r="14873" ht="15" customHeight="1"/>
    <row r="14874" ht="15" customHeight="1"/>
    <row r="14875" ht="15" customHeight="1"/>
    <row r="14876" ht="15" customHeight="1"/>
    <row r="14877" ht="15" customHeight="1"/>
    <row r="14878" ht="15" customHeight="1"/>
    <row r="14879" ht="15" customHeight="1"/>
    <row r="14880" ht="15" customHeight="1"/>
    <row r="14881" ht="15" customHeight="1"/>
    <row r="14882" ht="15" customHeight="1"/>
    <row r="14883" ht="15" customHeight="1"/>
    <row r="14884" ht="15" customHeight="1"/>
    <row r="14885" ht="15" customHeight="1"/>
    <row r="14886" ht="15" customHeight="1"/>
    <row r="14887" ht="15" customHeight="1"/>
    <row r="14888" ht="15" customHeight="1"/>
    <row r="14889" ht="15" customHeight="1"/>
    <row r="14890" ht="15" customHeight="1"/>
    <row r="14891" ht="15" customHeight="1"/>
    <row r="14892" ht="15" customHeight="1"/>
    <row r="14893" ht="15" customHeight="1"/>
    <row r="14894" ht="15" customHeight="1"/>
    <row r="14895" ht="15" customHeight="1"/>
    <row r="14896" ht="15" customHeight="1"/>
    <row r="14897" ht="15" customHeight="1"/>
    <row r="14898" ht="15" customHeight="1"/>
    <row r="14899" ht="15" customHeight="1"/>
    <row r="14900" ht="15" customHeight="1"/>
    <row r="14901" ht="15" customHeight="1"/>
    <row r="14902" ht="15" customHeight="1"/>
    <row r="14903" ht="15" customHeight="1"/>
    <row r="14904" ht="15" customHeight="1"/>
    <row r="14905" ht="15" customHeight="1"/>
    <row r="14906" ht="15" customHeight="1"/>
    <row r="14907" ht="15" customHeight="1"/>
    <row r="14908" ht="15" customHeight="1"/>
    <row r="14909" ht="15" customHeight="1"/>
    <row r="14910" ht="15" customHeight="1"/>
    <row r="14911" ht="15" customHeight="1"/>
    <row r="14912" ht="15" customHeight="1"/>
    <row r="14913" ht="15" customHeight="1"/>
    <row r="14914" ht="15" customHeight="1"/>
    <row r="14915" ht="15" customHeight="1"/>
    <row r="14916" ht="15" customHeight="1"/>
    <row r="14917" ht="15" customHeight="1"/>
    <row r="14918" ht="15" customHeight="1"/>
    <row r="14919" ht="15" customHeight="1"/>
    <row r="14920" ht="15" customHeight="1"/>
    <row r="14921" ht="15" customHeight="1"/>
    <row r="14922" ht="15" customHeight="1"/>
    <row r="14923" ht="15" customHeight="1"/>
    <row r="14924" ht="15" customHeight="1"/>
    <row r="14925" ht="15" customHeight="1"/>
    <row r="14926" ht="15" customHeight="1"/>
    <row r="14927" ht="15" customHeight="1"/>
    <row r="14928" ht="15" customHeight="1"/>
    <row r="14929" ht="15" customHeight="1"/>
    <row r="14930" ht="15" customHeight="1"/>
    <row r="14931" ht="15" customHeight="1"/>
    <row r="14932" ht="15" customHeight="1"/>
    <row r="14933" ht="15" customHeight="1"/>
    <row r="14934" ht="15" customHeight="1"/>
    <row r="14935" ht="15" customHeight="1"/>
    <row r="14936" ht="15" customHeight="1"/>
    <row r="14937" ht="15" customHeight="1"/>
    <row r="14938" ht="15" customHeight="1"/>
    <row r="14939" ht="15" customHeight="1"/>
    <row r="14940" ht="15" customHeight="1"/>
    <row r="14941" ht="15" customHeight="1"/>
    <row r="14942" ht="15" customHeight="1"/>
    <row r="14943" ht="15" customHeight="1"/>
    <row r="14944" ht="15" customHeight="1"/>
    <row r="14945" ht="15" customHeight="1"/>
    <row r="14946" ht="15" customHeight="1"/>
    <row r="14947" ht="15" customHeight="1"/>
    <row r="14948" ht="15" customHeight="1"/>
    <row r="14949" ht="15" customHeight="1"/>
    <row r="14950" ht="15" customHeight="1"/>
    <row r="14951" ht="15" customHeight="1"/>
    <row r="14952" ht="15" customHeight="1"/>
    <row r="14953" ht="15" customHeight="1"/>
    <row r="14954" ht="15" customHeight="1"/>
    <row r="14955" ht="15" customHeight="1"/>
    <row r="14956" ht="15" customHeight="1"/>
    <row r="14957" ht="15" customHeight="1"/>
    <row r="14958" ht="15" customHeight="1"/>
    <row r="14959" ht="15" customHeight="1"/>
    <row r="14960" ht="15" customHeight="1"/>
    <row r="14961" ht="15" customHeight="1"/>
    <row r="14962" ht="15" customHeight="1"/>
    <row r="14963" ht="15" customHeight="1"/>
    <row r="14964" ht="15" customHeight="1"/>
    <row r="14965" ht="15" customHeight="1"/>
    <row r="14966" ht="15" customHeight="1"/>
    <row r="14967" ht="15" customHeight="1"/>
    <row r="14968" ht="15" customHeight="1"/>
    <row r="14969" ht="15" customHeight="1"/>
    <row r="14970" ht="15" customHeight="1"/>
    <row r="14971" ht="15" customHeight="1"/>
    <row r="14972" ht="15" customHeight="1"/>
    <row r="14973" ht="15" customHeight="1"/>
    <row r="14974" ht="15" customHeight="1"/>
    <row r="14975" ht="15" customHeight="1"/>
    <row r="14976" ht="15" customHeight="1"/>
    <row r="14977" ht="15" customHeight="1"/>
    <row r="14978" ht="15" customHeight="1"/>
    <row r="14979" ht="15" customHeight="1"/>
    <row r="14980" ht="15" customHeight="1"/>
    <row r="14981" ht="15" customHeight="1"/>
    <row r="14982" ht="15" customHeight="1"/>
    <row r="14983" ht="15" customHeight="1"/>
    <row r="14984" ht="15" customHeight="1"/>
    <row r="14985" ht="15" customHeight="1"/>
    <row r="14986" ht="15" customHeight="1"/>
    <row r="14987" ht="15" customHeight="1"/>
    <row r="14988" ht="15" customHeight="1"/>
    <row r="14989" ht="15" customHeight="1"/>
    <row r="14990" ht="15" customHeight="1"/>
    <row r="14991" ht="15" customHeight="1"/>
    <row r="14992" ht="15" customHeight="1"/>
    <row r="14993" ht="15" customHeight="1"/>
    <row r="14994" ht="15" customHeight="1"/>
    <row r="14995" ht="15" customHeight="1"/>
    <row r="14996" ht="15" customHeight="1"/>
    <row r="14997" ht="15" customHeight="1"/>
    <row r="14998" ht="15" customHeight="1"/>
    <row r="14999" ht="15" customHeight="1"/>
    <row r="15000" ht="15" customHeight="1"/>
    <row r="15001" ht="15" customHeight="1"/>
    <row r="15002" ht="15" customHeight="1"/>
    <row r="15003" ht="15" customHeight="1"/>
    <row r="15004" ht="15" customHeight="1"/>
    <row r="15005" ht="15" customHeight="1"/>
    <row r="15006" ht="15" customHeight="1"/>
    <row r="15007" ht="15" customHeight="1"/>
    <row r="15008" ht="15" customHeight="1"/>
    <row r="15009" ht="15" customHeight="1"/>
    <row r="15010" ht="15" customHeight="1"/>
    <row r="15011" ht="15" customHeight="1"/>
    <row r="15012" ht="15" customHeight="1"/>
    <row r="15013" ht="15" customHeight="1"/>
    <row r="15014" ht="15" customHeight="1"/>
    <row r="15015" ht="15" customHeight="1"/>
    <row r="15016" ht="15" customHeight="1"/>
    <row r="15017" ht="15" customHeight="1"/>
    <row r="15018" ht="15" customHeight="1"/>
    <row r="15019" ht="15" customHeight="1"/>
    <row r="15020" ht="15" customHeight="1"/>
    <row r="15021" ht="15" customHeight="1"/>
    <row r="15022" ht="15" customHeight="1"/>
    <row r="15023" ht="15" customHeight="1"/>
    <row r="15024" ht="15" customHeight="1"/>
    <row r="15025" ht="15" customHeight="1"/>
    <row r="15026" ht="15" customHeight="1"/>
    <row r="15027" ht="15" customHeight="1"/>
    <row r="15028" ht="15" customHeight="1"/>
    <row r="15029" ht="15" customHeight="1"/>
    <row r="15030" ht="15" customHeight="1"/>
    <row r="15031" ht="15" customHeight="1"/>
    <row r="15032" ht="15" customHeight="1"/>
    <row r="15033" ht="15" customHeight="1"/>
    <row r="15034" ht="15" customHeight="1"/>
    <row r="15035" ht="15" customHeight="1"/>
    <row r="15036" ht="15" customHeight="1"/>
    <row r="15037" ht="15" customHeight="1"/>
    <row r="15038" ht="15" customHeight="1"/>
    <row r="15039" ht="15" customHeight="1"/>
    <row r="15040" ht="15" customHeight="1"/>
    <row r="15041" ht="15" customHeight="1"/>
    <row r="15042" ht="15" customHeight="1"/>
    <row r="15043" ht="15" customHeight="1"/>
    <row r="15044" ht="15" customHeight="1"/>
    <row r="15045" ht="15" customHeight="1"/>
    <row r="15046" ht="15" customHeight="1"/>
    <row r="15047" ht="15" customHeight="1"/>
    <row r="15048" ht="15" customHeight="1"/>
    <row r="15049" ht="15" customHeight="1"/>
    <row r="15050" ht="15" customHeight="1"/>
    <row r="15051" ht="15" customHeight="1"/>
    <row r="15052" ht="15" customHeight="1"/>
    <row r="15053" ht="15" customHeight="1"/>
    <row r="15054" ht="15" customHeight="1"/>
    <row r="15055" ht="15" customHeight="1"/>
    <row r="15056" ht="15" customHeight="1"/>
    <row r="15057" ht="15" customHeight="1"/>
    <row r="15058" ht="15" customHeight="1"/>
    <row r="15059" ht="15" customHeight="1"/>
    <row r="15060" ht="15" customHeight="1"/>
    <row r="15061" ht="15" customHeight="1"/>
    <row r="15062" ht="15" customHeight="1"/>
    <row r="15063" ht="15" customHeight="1"/>
    <row r="15064" ht="15" customHeight="1"/>
    <row r="15065" ht="15" customHeight="1"/>
    <row r="15066" ht="15" customHeight="1"/>
    <row r="15067" ht="15" customHeight="1"/>
    <row r="15068" ht="15" customHeight="1"/>
    <row r="15069" ht="15" customHeight="1"/>
    <row r="15070" ht="15" customHeight="1"/>
    <row r="15071" ht="15" customHeight="1"/>
    <row r="15072" ht="15" customHeight="1"/>
    <row r="15073" ht="15" customHeight="1"/>
    <row r="15074" ht="15" customHeight="1"/>
    <row r="15075" ht="15" customHeight="1"/>
    <row r="15076" ht="15" customHeight="1"/>
    <row r="15077" ht="15" customHeight="1"/>
    <row r="15078" ht="15" customHeight="1"/>
    <row r="15079" ht="15" customHeight="1"/>
    <row r="15080" ht="15" customHeight="1"/>
    <row r="15081" ht="15" customHeight="1"/>
    <row r="15082" ht="15" customHeight="1"/>
    <row r="15083" ht="15" customHeight="1"/>
    <row r="15084" ht="15" customHeight="1"/>
    <row r="15085" ht="15" customHeight="1"/>
    <row r="15086" ht="15" customHeight="1"/>
    <row r="15087" ht="15" customHeight="1"/>
    <row r="15088" ht="15" customHeight="1"/>
    <row r="15089" ht="15" customHeight="1"/>
    <row r="15090" ht="15" customHeight="1"/>
    <row r="15091" ht="15" customHeight="1"/>
    <row r="15092" ht="15" customHeight="1"/>
    <row r="15093" ht="15" customHeight="1"/>
    <row r="15094" ht="15" customHeight="1"/>
    <row r="15095" ht="15" customHeight="1"/>
    <row r="15096" ht="15" customHeight="1"/>
    <row r="15097" ht="15" customHeight="1"/>
    <row r="15098" ht="15" customHeight="1"/>
    <row r="15099" ht="15" customHeight="1"/>
    <row r="15100" ht="15" customHeight="1"/>
    <row r="15101" ht="15" customHeight="1"/>
    <row r="15102" ht="15" customHeight="1"/>
    <row r="15103" ht="15" customHeight="1"/>
    <row r="15104" ht="15" customHeight="1"/>
    <row r="15105" ht="15" customHeight="1"/>
    <row r="15106" ht="15" customHeight="1"/>
    <row r="15107" ht="15" customHeight="1"/>
    <row r="15108" ht="15" customHeight="1"/>
    <row r="15109" ht="15" customHeight="1"/>
    <row r="15110" ht="15" customHeight="1"/>
    <row r="15111" ht="15" customHeight="1"/>
    <row r="15112" ht="15" customHeight="1"/>
    <row r="15113" ht="15" customHeight="1"/>
    <row r="15114" ht="15" customHeight="1"/>
    <row r="15115" ht="15" customHeight="1"/>
    <row r="15116" ht="15" customHeight="1"/>
    <row r="15117" ht="15" customHeight="1"/>
    <row r="15118" ht="15" customHeight="1"/>
    <row r="15119" ht="15" customHeight="1"/>
    <row r="15120" ht="15" customHeight="1"/>
    <row r="15121" ht="15" customHeight="1"/>
    <row r="15122" ht="15" customHeight="1"/>
    <row r="15123" ht="15" customHeight="1"/>
    <row r="15124" ht="15" customHeight="1"/>
    <row r="15125" ht="15" customHeight="1"/>
    <row r="15126" ht="15" customHeight="1"/>
    <row r="15127" ht="15" customHeight="1"/>
    <row r="15128" ht="15" customHeight="1"/>
    <row r="15129" ht="15" customHeight="1"/>
    <row r="15130" ht="15" customHeight="1"/>
    <row r="15131" ht="15" customHeight="1"/>
    <row r="15132" ht="15" customHeight="1"/>
    <row r="15133" ht="15" customHeight="1"/>
    <row r="15134" ht="15" customHeight="1"/>
    <row r="15135" ht="15" customHeight="1"/>
    <row r="15136" ht="15" customHeight="1"/>
    <row r="15137" ht="15" customHeight="1"/>
    <row r="15138" ht="15" customHeight="1"/>
    <row r="15139" ht="15" customHeight="1"/>
    <row r="15140" ht="15" customHeight="1"/>
    <row r="15141" ht="15" customHeight="1"/>
    <row r="15142" ht="15" customHeight="1"/>
    <row r="15143" ht="15" customHeight="1"/>
    <row r="15144" ht="15" customHeight="1"/>
    <row r="15145" ht="15" customHeight="1"/>
    <row r="15146" ht="15" customHeight="1"/>
    <row r="15147" ht="15" customHeight="1"/>
    <row r="15148" ht="15" customHeight="1"/>
    <row r="15149" ht="15" customHeight="1"/>
    <row r="15150" ht="15" customHeight="1"/>
    <row r="15151" ht="15" customHeight="1"/>
    <row r="15152" ht="15" customHeight="1"/>
    <row r="15153" ht="15" customHeight="1"/>
    <row r="15154" ht="15" customHeight="1"/>
    <row r="15155" ht="15" customHeight="1"/>
    <row r="15156" ht="15" customHeight="1"/>
    <row r="15157" ht="15" customHeight="1"/>
    <row r="15158" ht="15" customHeight="1"/>
    <row r="15159" ht="15" customHeight="1"/>
    <row r="15160" ht="15" customHeight="1"/>
    <row r="15161" ht="15" customHeight="1"/>
    <row r="15162" ht="15" customHeight="1"/>
    <row r="15163" ht="15" customHeight="1"/>
    <row r="15164" ht="15" customHeight="1"/>
    <row r="15165" ht="15" customHeight="1"/>
    <row r="15166" ht="15" customHeight="1"/>
    <row r="15167" ht="15" customHeight="1"/>
    <row r="15168" ht="15" customHeight="1"/>
    <row r="15169" ht="15" customHeight="1"/>
    <row r="15170" ht="15" customHeight="1"/>
    <row r="15171" ht="15" customHeight="1"/>
    <row r="15172" ht="15" customHeight="1"/>
    <row r="15173" ht="15" customHeight="1"/>
    <row r="15174" ht="15" customHeight="1"/>
    <row r="15175" ht="15" customHeight="1"/>
    <row r="15176" ht="15" customHeight="1"/>
    <row r="15177" ht="15" customHeight="1"/>
    <row r="15178" ht="15" customHeight="1"/>
    <row r="15179" ht="15" customHeight="1"/>
    <row r="15180" ht="15" customHeight="1"/>
    <row r="15181" ht="15" customHeight="1"/>
    <row r="15182" ht="15" customHeight="1"/>
    <row r="15183" ht="15" customHeight="1"/>
    <row r="15184" ht="15" customHeight="1"/>
    <row r="15185" ht="15" customHeight="1"/>
    <row r="15186" ht="15" customHeight="1"/>
    <row r="15187" ht="15" customHeight="1"/>
    <row r="15188" ht="15" customHeight="1"/>
    <row r="15189" ht="15" customHeight="1"/>
    <row r="15190" ht="15" customHeight="1"/>
    <row r="15191" ht="15" customHeight="1"/>
    <row r="15192" ht="15" customHeight="1"/>
    <row r="15193" ht="15" customHeight="1"/>
    <row r="15194" ht="15" customHeight="1"/>
    <row r="15195" ht="15" customHeight="1"/>
    <row r="15196" ht="15" customHeight="1"/>
    <row r="15197" ht="15" customHeight="1"/>
    <row r="15198" ht="15" customHeight="1"/>
    <row r="15199" ht="15" customHeight="1"/>
    <row r="15200" ht="15" customHeight="1"/>
    <row r="15201" ht="15" customHeight="1"/>
    <row r="15202" ht="15" customHeight="1"/>
    <row r="15203" ht="15" customHeight="1"/>
    <row r="15204" ht="15" customHeight="1"/>
    <row r="15205" ht="15" customHeight="1"/>
    <row r="15206" ht="15" customHeight="1"/>
    <row r="15207" ht="15" customHeight="1"/>
    <row r="15208" ht="15" customHeight="1"/>
    <row r="15209" ht="15" customHeight="1"/>
    <row r="15210" ht="15" customHeight="1"/>
    <row r="15211" ht="15" customHeight="1"/>
    <row r="15212" ht="15" customHeight="1"/>
    <row r="15213" ht="15" customHeight="1"/>
    <row r="15214" ht="15" customHeight="1"/>
    <row r="15215" ht="15" customHeight="1"/>
    <row r="15216" ht="15" customHeight="1"/>
    <row r="15217" ht="15" customHeight="1"/>
    <row r="15218" ht="15" customHeight="1"/>
    <row r="15219" ht="15" customHeight="1"/>
    <row r="15220" ht="15" customHeight="1"/>
    <row r="15221" ht="15" customHeight="1"/>
    <row r="15222" ht="15" customHeight="1"/>
    <row r="15223" ht="15" customHeight="1"/>
    <row r="15224" ht="15" customHeight="1"/>
    <row r="15225" ht="15" customHeight="1"/>
    <row r="15226" ht="15" customHeight="1"/>
    <row r="15227" ht="15" customHeight="1"/>
    <row r="15228" ht="15" customHeight="1"/>
    <row r="15229" ht="15" customHeight="1"/>
    <row r="15230" ht="15" customHeight="1"/>
    <row r="15231" ht="15" customHeight="1"/>
    <row r="15232" ht="15" customHeight="1"/>
    <row r="15233" ht="15" customHeight="1"/>
    <row r="15234" ht="15" customHeight="1"/>
    <row r="15235" ht="15" customHeight="1"/>
    <row r="15236" ht="15" customHeight="1"/>
    <row r="15237" ht="15" customHeight="1"/>
    <row r="15238" ht="15" customHeight="1"/>
    <row r="15239" ht="15" customHeight="1"/>
    <row r="15240" ht="15" customHeight="1"/>
    <row r="15241" ht="15" customHeight="1"/>
    <row r="15242" ht="15" customHeight="1"/>
    <row r="15243" ht="15" customHeight="1"/>
    <row r="15244" ht="15" customHeight="1"/>
    <row r="15245" ht="15" customHeight="1"/>
    <row r="15246" ht="15" customHeight="1"/>
    <row r="15247" ht="15" customHeight="1"/>
    <row r="15248" ht="15" customHeight="1"/>
    <row r="15249" ht="15" customHeight="1"/>
    <row r="15250" ht="15" customHeight="1"/>
    <row r="15251" ht="15" customHeight="1"/>
    <row r="15252" ht="15" customHeight="1"/>
    <row r="15253" ht="15" customHeight="1"/>
    <row r="15254" ht="15" customHeight="1"/>
    <row r="15255" ht="15" customHeight="1"/>
    <row r="15256" ht="15" customHeight="1"/>
    <row r="15257" ht="15" customHeight="1"/>
    <row r="15258" ht="15" customHeight="1"/>
    <row r="15259" ht="15" customHeight="1"/>
    <row r="15260" ht="15" customHeight="1"/>
    <row r="15261" ht="15" customHeight="1"/>
    <row r="15262" ht="15" customHeight="1"/>
    <row r="15263" ht="15" customHeight="1"/>
    <row r="15264" ht="15" customHeight="1"/>
    <row r="15265" ht="15" customHeight="1"/>
    <row r="15266" ht="15" customHeight="1"/>
    <row r="15267" ht="15" customHeight="1"/>
    <row r="15268" ht="15" customHeight="1"/>
    <row r="15269" ht="15" customHeight="1"/>
    <row r="15270" ht="15" customHeight="1"/>
    <row r="15271" ht="15" customHeight="1"/>
    <row r="15272" ht="15" customHeight="1"/>
    <row r="15273" ht="15" customHeight="1"/>
    <row r="15274" ht="15" customHeight="1"/>
    <row r="15275" ht="15" customHeight="1"/>
    <row r="15276" ht="15" customHeight="1"/>
    <row r="15277" ht="15" customHeight="1"/>
    <row r="15278" ht="15" customHeight="1"/>
    <row r="15279" ht="15" customHeight="1"/>
    <row r="15280" ht="15" customHeight="1"/>
    <row r="15281" ht="15" customHeight="1"/>
    <row r="15282" ht="15" customHeight="1"/>
    <row r="15283" ht="15" customHeight="1"/>
    <row r="15284" ht="15" customHeight="1"/>
    <row r="15285" ht="15" customHeight="1"/>
    <row r="15286" ht="15" customHeight="1"/>
    <row r="15287" ht="15" customHeight="1"/>
    <row r="15288" ht="15" customHeight="1"/>
    <row r="15289" ht="15" customHeight="1"/>
    <row r="15290" ht="15" customHeight="1"/>
    <row r="15291" ht="15" customHeight="1"/>
    <row r="15292" ht="15" customHeight="1"/>
    <row r="15293" ht="15" customHeight="1"/>
    <row r="15294" ht="15" customHeight="1"/>
    <row r="15295" ht="15" customHeight="1"/>
    <row r="15296" ht="15" customHeight="1"/>
    <row r="15297" ht="15" customHeight="1"/>
    <row r="15298" ht="15" customHeight="1"/>
    <row r="15299" ht="15" customHeight="1"/>
    <row r="15300" ht="15" customHeight="1"/>
    <row r="15301" ht="15" customHeight="1"/>
    <row r="15302" ht="15" customHeight="1"/>
    <row r="15303" ht="15" customHeight="1"/>
    <row r="15304" ht="15" customHeight="1"/>
    <row r="15305" ht="15" customHeight="1"/>
    <row r="15306" ht="15" customHeight="1"/>
    <row r="15307" ht="15" customHeight="1"/>
    <row r="15308" ht="15" customHeight="1"/>
    <row r="15309" ht="15" customHeight="1"/>
    <row r="15310" ht="15" customHeight="1"/>
    <row r="15311" ht="15" customHeight="1"/>
    <row r="15312" ht="15" customHeight="1"/>
    <row r="15313" ht="15" customHeight="1"/>
    <row r="15314" ht="15" customHeight="1"/>
    <row r="15315" ht="15" customHeight="1"/>
    <row r="15316" ht="15" customHeight="1"/>
    <row r="15317" ht="15" customHeight="1"/>
    <row r="15318" ht="15" customHeight="1"/>
    <row r="15319" ht="15" customHeight="1"/>
    <row r="15320" ht="15" customHeight="1"/>
    <row r="15321" ht="15" customHeight="1"/>
    <row r="15322" ht="15" customHeight="1"/>
    <row r="15323" ht="15" customHeight="1"/>
    <row r="15324" ht="15" customHeight="1"/>
    <row r="15325" ht="15" customHeight="1"/>
    <row r="15326" ht="15" customHeight="1"/>
    <row r="15327" ht="15" customHeight="1"/>
    <row r="15328" ht="15" customHeight="1"/>
    <row r="15329" ht="15" customHeight="1"/>
    <row r="15330" ht="15" customHeight="1"/>
    <row r="15331" ht="15" customHeight="1"/>
    <row r="15332" ht="15" customHeight="1"/>
    <row r="15333" ht="15" customHeight="1"/>
    <row r="15334" ht="15" customHeight="1"/>
    <row r="15335" ht="15" customHeight="1"/>
    <row r="15336" ht="15" customHeight="1"/>
    <row r="15337" ht="15" customHeight="1"/>
    <row r="15338" ht="15" customHeight="1"/>
    <row r="15339" ht="15" customHeight="1"/>
    <row r="15340" ht="15" customHeight="1"/>
    <row r="15341" ht="15" customHeight="1"/>
    <row r="15342" ht="15" customHeight="1"/>
    <row r="15343" ht="15" customHeight="1"/>
    <row r="15344" ht="15" customHeight="1"/>
    <row r="15345" ht="15" customHeight="1"/>
    <row r="15346" ht="15" customHeight="1"/>
    <row r="15347" ht="15" customHeight="1"/>
    <row r="15348" ht="15" customHeight="1"/>
    <row r="15349" ht="15" customHeight="1"/>
    <row r="15350" ht="15" customHeight="1"/>
    <row r="15351" ht="15" customHeight="1"/>
    <row r="15352" ht="15" customHeight="1"/>
    <row r="15353" ht="15" customHeight="1"/>
    <row r="15354" ht="15" customHeight="1"/>
    <row r="15355" ht="15" customHeight="1"/>
    <row r="15356" ht="15" customHeight="1"/>
    <row r="15357" ht="15" customHeight="1"/>
    <row r="15358" ht="15" customHeight="1"/>
    <row r="15359" ht="15" customHeight="1"/>
    <row r="15360" ht="15" customHeight="1"/>
    <row r="15361" ht="15" customHeight="1"/>
    <row r="15362" ht="15" customHeight="1"/>
    <row r="15363" ht="15" customHeight="1"/>
    <row r="15364" ht="15" customHeight="1"/>
    <row r="15365" ht="15" customHeight="1"/>
    <row r="15366" ht="15" customHeight="1"/>
    <row r="15367" ht="15" customHeight="1"/>
    <row r="15368" ht="15" customHeight="1"/>
    <row r="15369" ht="15" customHeight="1"/>
    <row r="15370" ht="15" customHeight="1"/>
    <row r="15371" ht="15" customHeight="1"/>
    <row r="15372" ht="15" customHeight="1"/>
    <row r="15373" ht="15" customHeight="1"/>
    <row r="15374" ht="15" customHeight="1"/>
    <row r="15375" ht="15" customHeight="1"/>
    <row r="15376" ht="15" customHeight="1"/>
    <row r="15377" ht="15" customHeight="1"/>
    <row r="15378" ht="15" customHeight="1"/>
    <row r="15379" ht="15" customHeight="1"/>
    <row r="15380" ht="15" customHeight="1"/>
    <row r="15381" ht="15" customHeight="1"/>
    <row r="15382" ht="15" customHeight="1"/>
    <row r="15383" ht="15" customHeight="1"/>
    <row r="15384" ht="15" customHeight="1"/>
    <row r="15385" ht="15" customHeight="1"/>
    <row r="15386" ht="15" customHeight="1"/>
    <row r="15387" ht="15" customHeight="1"/>
    <row r="15388" ht="15" customHeight="1"/>
    <row r="15389" ht="15" customHeight="1"/>
    <row r="15390" ht="15" customHeight="1"/>
    <row r="15391" ht="15" customHeight="1"/>
    <row r="15392" ht="15" customHeight="1"/>
    <row r="15393" ht="15" customHeight="1"/>
    <row r="15394" ht="15" customHeight="1"/>
    <row r="15395" ht="15" customHeight="1"/>
    <row r="15396" ht="15" customHeight="1"/>
    <row r="15397" ht="15" customHeight="1"/>
    <row r="15398" ht="15" customHeight="1"/>
    <row r="15399" ht="15" customHeight="1"/>
    <row r="15400" ht="15" customHeight="1"/>
    <row r="15401" ht="15" customHeight="1"/>
    <row r="15402" ht="15" customHeight="1"/>
    <row r="15403" ht="15" customHeight="1"/>
    <row r="15404" ht="15" customHeight="1"/>
    <row r="15405" ht="15" customHeight="1"/>
    <row r="15406" ht="15" customHeight="1"/>
    <row r="15407" ht="15" customHeight="1"/>
    <row r="15408" ht="15" customHeight="1"/>
    <row r="15409" ht="15" customHeight="1"/>
    <row r="15410" ht="15" customHeight="1"/>
    <row r="15411" ht="15" customHeight="1"/>
    <row r="15412" ht="15" customHeight="1"/>
    <row r="15413" ht="15" customHeight="1"/>
    <row r="15414" ht="15" customHeight="1"/>
    <row r="15415" ht="15" customHeight="1"/>
    <row r="15416" ht="15" customHeight="1"/>
    <row r="15417" ht="15" customHeight="1"/>
    <row r="15418" ht="15" customHeight="1"/>
    <row r="15419" ht="15" customHeight="1"/>
    <row r="15420" ht="15" customHeight="1"/>
    <row r="15421" ht="15" customHeight="1"/>
    <row r="15422" ht="15" customHeight="1"/>
    <row r="15423" ht="15" customHeight="1"/>
    <row r="15424" ht="15" customHeight="1"/>
    <row r="15425" ht="15" customHeight="1"/>
    <row r="15426" ht="15" customHeight="1"/>
    <row r="15427" ht="15" customHeight="1"/>
    <row r="15428" ht="15" customHeight="1"/>
    <row r="15429" ht="15" customHeight="1"/>
    <row r="15430" ht="15" customHeight="1"/>
    <row r="15431" ht="15" customHeight="1"/>
    <row r="15432" ht="15" customHeight="1"/>
    <row r="15433" ht="15" customHeight="1"/>
    <row r="15434" ht="15" customHeight="1"/>
    <row r="15435" ht="15" customHeight="1"/>
    <row r="15436" ht="15" customHeight="1"/>
    <row r="15437" ht="15" customHeight="1"/>
    <row r="15438" ht="15" customHeight="1"/>
    <row r="15439" ht="15" customHeight="1"/>
    <row r="15440" ht="15" customHeight="1"/>
    <row r="15441" ht="15" customHeight="1"/>
    <row r="15442" ht="15" customHeight="1"/>
    <row r="15443" ht="15" customHeight="1"/>
    <row r="15444" ht="15" customHeight="1"/>
    <row r="15445" ht="15" customHeight="1"/>
    <row r="15446" ht="15" customHeight="1"/>
    <row r="15447" ht="15" customHeight="1"/>
    <row r="15448" ht="15" customHeight="1"/>
    <row r="15449" ht="15" customHeight="1"/>
    <row r="15450" ht="15" customHeight="1"/>
    <row r="15451" ht="15" customHeight="1"/>
    <row r="15452" ht="15" customHeight="1"/>
    <row r="15453" ht="15" customHeight="1"/>
    <row r="15454" ht="15" customHeight="1"/>
    <row r="15455" ht="15" customHeight="1"/>
    <row r="15456" ht="15" customHeight="1"/>
    <row r="15457" ht="15" customHeight="1"/>
    <row r="15458" ht="15" customHeight="1"/>
    <row r="15459" ht="15" customHeight="1"/>
    <row r="15460" ht="15" customHeight="1"/>
    <row r="15461" ht="15" customHeight="1"/>
    <row r="15462" ht="15" customHeight="1"/>
    <row r="15463" ht="15" customHeight="1"/>
    <row r="15464" ht="15" customHeight="1"/>
    <row r="15465" ht="15" customHeight="1"/>
    <row r="15466" ht="15" customHeight="1"/>
    <row r="15467" ht="15" customHeight="1"/>
    <row r="15468" ht="15" customHeight="1"/>
    <row r="15469" ht="15" customHeight="1"/>
    <row r="15470" ht="15" customHeight="1"/>
    <row r="15471" ht="15" customHeight="1"/>
    <row r="15472" ht="15" customHeight="1"/>
    <row r="15473" ht="15" customHeight="1"/>
    <row r="15474" ht="15" customHeight="1"/>
    <row r="15475" ht="15" customHeight="1"/>
    <row r="15476" ht="15" customHeight="1"/>
    <row r="15477" ht="15" customHeight="1"/>
    <row r="15478" ht="15" customHeight="1"/>
    <row r="15479" ht="15" customHeight="1"/>
    <row r="15480" ht="15" customHeight="1"/>
    <row r="15481" ht="15" customHeight="1"/>
    <row r="15482" ht="15" customHeight="1"/>
    <row r="15483" ht="15" customHeight="1"/>
    <row r="15484" ht="15" customHeight="1"/>
    <row r="15485" ht="15" customHeight="1"/>
    <row r="15486" ht="15" customHeight="1"/>
    <row r="15487" ht="15" customHeight="1"/>
    <row r="15488" ht="15" customHeight="1"/>
    <row r="15489" ht="15" customHeight="1"/>
    <row r="15490" ht="15" customHeight="1"/>
    <row r="15491" ht="15" customHeight="1"/>
    <row r="15492" ht="15" customHeight="1"/>
    <row r="15493" ht="15" customHeight="1"/>
    <row r="15494" ht="15" customHeight="1"/>
    <row r="15495" ht="15" customHeight="1"/>
    <row r="15496" ht="15" customHeight="1"/>
    <row r="15497" ht="15" customHeight="1"/>
    <row r="15498" ht="15" customHeight="1"/>
    <row r="15499" ht="15" customHeight="1"/>
    <row r="15500" ht="15" customHeight="1"/>
    <row r="15501" ht="15" customHeight="1"/>
    <row r="15502" ht="15" customHeight="1"/>
    <row r="15503" ht="15" customHeight="1"/>
    <row r="15504" ht="15" customHeight="1"/>
    <row r="15505" ht="15" customHeight="1"/>
    <row r="15506" ht="15" customHeight="1"/>
    <row r="15507" ht="15" customHeight="1"/>
    <row r="15508" ht="15" customHeight="1"/>
    <row r="15509" ht="15" customHeight="1"/>
    <row r="15510" ht="15" customHeight="1"/>
    <row r="15511" ht="15" customHeight="1"/>
    <row r="15512" ht="15" customHeight="1"/>
    <row r="15513" ht="15" customHeight="1"/>
    <row r="15514" ht="15" customHeight="1"/>
    <row r="15515" ht="15" customHeight="1"/>
    <row r="15516" ht="15" customHeight="1"/>
    <row r="15517" ht="15" customHeight="1"/>
    <row r="15518" ht="15" customHeight="1"/>
    <row r="15519" ht="15" customHeight="1"/>
    <row r="15520" ht="15" customHeight="1"/>
    <row r="15521" ht="15" customHeight="1"/>
    <row r="15522" ht="15" customHeight="1"/>
    <row r="15523" ht="15" customHeight="1"/>
    <row r="15524" ht="15" customHeight="1"/>
    <row r="15525" ht="15" customHeight="1"/>
    <row r="15526" ht="15" customHeight="1"/>
    <row r="15527" ht="15" customHeight="1"/>
    <row r="15528" ht="15" customHeight="1"/>
    <row r="15529" ht="15" customHeight="1"/>
    <row r="15530" ht="15" customHeight="1"/>
    <row r="15531" ht="15" customHeight="1"/>
    <row r="15532" ht="15" customHeight="1"/>
    <row r="15533" ht="15" customHeight="1"/>
    <row r="15534" ht="15" customHeight="1"/>
    <row r="15535" ht="15" customHeight="1"/>
    <row r="15536" ht="15" customHeight="1"/>
    <row r="15537" ht="15" customHeight="1"/>
    <row r="15538" ht="15" customHeight="1"/>
    <row r="15539" ht="15" customHeight="1"/>
    <row r="15540" ht="15" customHeight="1"/>
    <row r="15541" ht="15" customHeight="1"/>
    <row r="15542" ht="15" customHeight="1"/>
    <row r="15543" ht="15" customHeight="1"/>
    <row r="15544" ht="15" customHeight="1"/>
    <row r="15545" ht="15" customHeight="1"/>
    <row r="15546" ht="15" customHeight="1"/>
    <row r="15547" ht="15" customHeight="1"/>
    <row r="15548" ht="15" customHeight="1"/>
    <row r="15549" ht="15" customHeight="1"/>
    <row r="15550" ht="15" customHeight="1"/>
    <row r="15551" ht="15" customHeight="1"/>
    <row r="15552" ht="15" customHeight="1"/>
    <row r="15553" ht="15" customHeight="1"/>
    <row r="15554" ht="15" customHeight="1"/>
    <row r="15555" ht="15" customHeight="1"/>
    <row r="15556" ht="15" customHeight="1"/>
    <row r="15557" ht="15" customHeight="1"/>
    <row r="15558" ht="15" customHeight="1"/>
    <row r="15559" ht="15" customHeight="1"/>
    <row r="15560" ht="15" customHeight="1"/>
    <row r="15561" ht="15" customHeight="1"/>
    <row r="15562" ht="15" customHeight="1"/>
    <row r="15563" ht="15" customHeight="1"/>
    <row r="15564" ht="15" customHeight="1"/>
    <row r="15565" ht="15" customHeight="1"/>
    <row r="15566" ht="15" customHeight="1"/>
    <row r="15567" ht="15" customHeight="1"/>
    <row r="15568" ht="15" customHeight="1"/>
    <row r="15569" ht="15" customHeight="1"/>
    <row r="15570" ht="15" customHeight="1"/>
    <row r="15571" ht="15" customHeight="1"/>
    <row r="15572" ht="15" customHeight="1"/>
    <row r="15573" ht="15" customHeight="1"/>
    <row r="15574" ht="15" customHeight="1"/>
    <row r="15575" ht="15" customHeight="1"/>
    <row r="15576" ht="15" customHeight="1"/>
    <row r="15577" ht="15" customHeight="1"/>
    <row r="15578" ht="15" customHeight="1"/>
    <row r="15579" ht="15" customHeight="1"/>
    <row r="15580" ht="15" customHeight="1"/>
    <row r="15581" ht="15" customHeight="1"/>
    <row r="15582" ht="15" customHeight="1"/>
    <row r="15583" ht="15" customHeight="1"/>
    <row r="15584" ht="15" customHeight="1"/>
    <row r="15585" ht="15" customHeight="1"/>
    <row r="15586" ht="15" customHeight="1"/>
    <row r="15587" ht="15" customHeight="1"/>
    <row r="15588" ht="15" customHeight="1"/>
    <row r="15589" ht="15" customHeight="1"/>
    <row r="15590" ht="15" customHeight="1"/>
    <row r="15591" ht="15" customHeight="1"/>
    <row r="15592" ht="15" customHeight="1"/>
    <row r="15593" ht="15" customHeight="1"/>
    <row r="15594" ht="15" customHeight="1"/>
    <row r="15595" ht="15" customHeight="1"/>
    <row r="15596" ht="15" customHeight="1"/>
    <row r="15597" ht="15" customHeight="1"/>
    <row r="15598" ht="15" customHeight="1"/>
    <row r="15599" ht="15" customHeight="1"/>
    <row r="15600" ht="15" customHeight="1"/>
    <row r="15601" ht="15" customHeight="1"/>
    <row r="15602" ht="15" customHeight="1"/>
    <row r="15603" ht="15" customHeight="1"/>
    <row r="15604" ht="15" customHeight="1"/>
    <row r="15605" ht="15" customHeight="1"/>
    <row r="15606" ht="15" customHeight="1"/>
    <row r="15607" ht="15" customHeight="1"/>
    <row r="15608" ht="15" customHeight="1"/>
    <row r="15609" ht="15" customHeight="1"/>
    <row r="15610" ht="15" customHeight="1"/>
    <row r="15611" ht="15" customHeight="1"/>
    <row r="15612" ht="15" customHeight="1"/>
    <row r="15613" ht="15" customHeight="1"/>
    <row r="15614" ht="15" customHeight="1"/>
    <row r="15615" ht="15" customHeight="1"/>
    <row r="15616" ht="15" customHeight="1"/>
    <row r="15617" ht="15" customHeight="1"/>
    <row r="15618" ht="15" customHeight="1"/>
    <row r="15619" ht="15" customHeight="1"/>
    <row r="15620" ht="15" customHeight="1"/>
    <row r="15621" ht="15" customHeight="1"/>
    <row r="15622" ht="15" customHeight="1"/>
    <row r="15623" ht="15" customHeight="1"/>
    <row r="15624" ht="15" customHeight="1"/>
    <row r="15625" ht="15" customHeight="1"/>
    <row r="15626" ht="15" customHeight="1"/>
    <row r="15627" ht="15" customHeight="1"/>
    <row r="15628" ht="15" customHeight="1"/>
    <row r="15629" ht="15" customHeight="1"/>
    <row r="15630" ht="15" customHeight="1"/>
    <row r="15631" ht="15" customHeight="1"/>
    <row r="15632" ht="15" customHeight="1"/>
    <row r="15633" ht="15" customHeight="1"/>
    <row r="15634" ht="15" customHeight="1"/>
    <row r="15635" ht="15" customHeight="1"/>
    <row r="15636" ht="15" customHeight="1"/>
    <row r="15637" ht="15" customHeight="1"/>
    <row r="15638" ht="15" customHeight="1"/>
    <row r="15639" ht="15" customHeight="1"/>
    <row r="15640" ht="15" customHeight="1"/>
    <row r="15641" ht="15" customHeight="1"/>
    <row r="15642" ht="15" customHeight="1"/>
    <row r="15643" ht="15" customHeight="1"/>
    <row r="15644" ht="15" customHeight="1"/>
    <row r="15645" ht="15" customHeight="1"/>
    <row r="15646" ht="15" customHeight="1"/>
    <row r="15647" ht="15" customHeight="1"/>
    <row r="15648" ht="15" customHeight="1"/>
    <row r="15649" ht="15" customHeight="1"/>
    <row r="15650" ht="15" customHeight="1"/>
    <row r="15651" ht="15" customHeight="1"/>
    <row r="15652" ht="15" customHeight="1"/>
    <row r="15653" ht="15" customHeight="1"/>
    <row r="15654" ht="15" customHeight="1"/>
    <row r="15655" ht="15" customHeight="1"/>
    <row r="15656" ht="15" customHeight="1"/>
    <row r="15657" ht="15" customHeight="1"/>
    <row r="15658" ht="15" customHeight="1"/>
    <row r="15659" ht="15" customHeight="1"/>
    <row r="15660" ht="15" customHeight="1"/>
    <row r="15661" ht="15" customHeight="1"/>
    <row r="15662" ht="15" customHeight="1"/>
    <row r="15663" ht="15" customHeight="1"/>
    <row r="15664" ht="15" customHeight="1"/>
    <row r="15665" ht="15" customHeight="1"/>
    <row r="15666" ht="15" customHeight="1"/>
    <row r="15667" ht="15" customHeight="1"/>
    <row r="15668" ht="15" customHeight="1"/>
    <row r="15669" ht="15" customHeight="1"/>
    <row r="15670" ht="15" customHeight="1"/>
    <row r="15671" ht="15" customHeight="1"/>
    <row r="15672" ht="15" customHeight="1"/>
    <row r="15673" ht="15" customHeight="1"/>
    <row r="15674" ht="15" customHeight="1"/>
    <row r="15675" ht="15" customHeight="1"/>
    <row r="15676" ht="15" customHeight="1"/>
    <row r="15677" ht="15" customHeight="1"/>
    <row r="15678" ht="15" customHeight="1"/>
    <row r="15679" ht="15" customHeight="1"/>
    <row r="15680" ht="15" customHeight="1"/>
    <row r="15681" ht="15" customHeight="1"/>
    <row r="15682" ht="15" customHeight="1"/>
    <row r="15683" ht="15" customHeight="1"/>
    <row r="15684" ht="15" customHeight="1"/>
    <row r="15685" ht="15" customHeight="1"/>
    <row r="15686" ht="15" customHeight="1"/>
    <row r="15687" ht="15" customHeight="1"/>
    <row r="15688" ht="15" customHeight="1"/>
    <row r="15689" ht="15" customHeight="1"/>
    <row r="15690" ht="15" customHeight="1"/>
    <row r="15691" ht="15" customHeight="1"/>
    <row r="15692" ht="15" customHeight="1"/>
    <row r="15693" ht="15" customHeight="1"/>
    <row r="15694" ht="15" customHeight="1"/>
    <row r="15695" ht="15" customHeight="1"/>
    <row r="15696" ht="15" customHeight="1"/>
    <row r="15697" ht="15" customHeight="1"/>
    <row r="15698" ht="15" customHeight="1"/>
    <row r="15699" ht="15" customHeight="1"/>
    <row r="15700" ht="15" customHeight="1"/>
    <row r="15701" ht="15" customHeight="1"/>
    <row r="15702" ht="15" customHeight="1"/>
    <row r="15703" ht="15" customHeight="1"/>
    <row r="15704" ht="15" customHeight="1"/>
    <row r="15705" ht="15" customHeight="1"/>
    <row r="15706" ht="15" customHeight="1"/>
    <row r="15707" ht="15" customHeight="1"/>
    <row r="15708" ht="15" customHeight="1"/>
    <row r="15709" ht="15" customHeight="1"/>
    <row r="15710" ht="15" customHeight="1"/>
    <row r="15711" ht="15" customHeight="1"/>
    <row r="15712" ht="15" customHeight="1"/>
    <row r="15713" ht="15" customHeight="1"/>
    <row r="15714" ht="15" customHeight="1"/>
    <row r="15715" ht="15" customHeight="1"/>
    <row r="15716" ht="15" customHeight="1"/>
    <row r="15717" ht="15" customHeight="1"/>
    <row r="15718" ht="15" customHeight="1"/>
    <row r="15719" ht="15" customHeight="1"/>
    <row r="15720" ht="15" customHeight="1"/>
    <row r="15721" ht="15" customHeight="1"/>
    <row r="15722" ht="15" customHeight="1"/>
    <row r="15723" ht="15" customHeight="1"/>
    <row r="15724" ht="15" customHeight="1"/>
    <row r="15725" ht="15" customHeight="1"/>
    <row r="15726" ht="15" customHeight="1"/>
    <row r="15727" ht="15" customHeight="1"/>
    <row r="15728" ht="15" customHeight="1"/>
    <row r="15729" ht="15" customHeight="1"/>
    <row r="15730" ht="15" customHeight="1"/>
    <row r="15731" ht="15" customHeight="1"/>
    <row r="15732" ht="15" customHeight="1"/>
    <row r="15733" ht="15" customHeight="1"/>
    <row r="15734" ht="15" customHeight="1"/>
    <row r="15735" ht="15" customHeight="1"/>
    <row r="15736" ht="15" customHeight="1"/>
    <row r="15737" ht="15" customHeight="1"/>
    <row r="15738" ht="15" customHeight="1"/>
    <row r="15739" ht="15" customHeight="1"/>
    <row r="15740" ht="15" customHeight="1"/>
    <row r="15741" ht="15" customHeight="1"/>
    <row r="15742" ht="15" customHeight="1"/>
    <row r="15743" ht="15" customHeight="1"/>
    <row r="15744" ht="15" customHeight="1"/>
    <row r="15745" ht="15" customHeight="1"/>
    <row r="15746" ht="15" customHeight="1"/>
    <row r="15747" ht="15" customHeight="1"/>
    <row r="15748" ht="15" customHeight="1"/>
    <row r="15749" ht="15" customHeight="1"/>
    <row r="15750" ht="15" customHeight="1"/>
    <row r="15751" ht="15" customHeight="1"/>
    <row r="15752" ht="15" customHeight="1"/>
    <row r="15753" ht="15" customHeight="1"/>
    <row r="15754" ht="15" customHeight="1"/>
    <row r="15755" ht="15" customHeight="1"/>
    <row r="15756" ht="15" customHeight="1"/>
    <row r="15757" ht="15" customHeight="1"/>
    <row r="15758" ht="15" customHeight="1"/>
    <row r="15759" ht="15" customHeight="1"/>
    <row r="15760" ht="15" customHeight="1"/>
    <row r="15761" ht="15" customHeight="1"/>
    <row r="15762" ht="15" customHeight="1"/>
    <row r="15763" ht="15" customHeight="1"/>
    <row r="15764" ht="15" customHeight="1"/>
    <row r="15765" ht="15" customHeight="1"/>
    <row r="15766" ht="15" customHeight="1"/>
    <row r="15767" ht="15" customHeight="1"/>
    <row r="15768" ht="15" customHeight="1"/>
    <row r="15769" ht="15" customHeight="1"/>
    <row r="15770" ht="15" customHeight="1"/>
    <row r="15771" ht="15" customHeight="1"/>
    <row r="15772" ht="15" customHeight="1"/>
    <row r="15773" ht="15" customHeight="1"/>
    <row r="15774" ht="15" customHeight="1"/>
    <row r="15775" ht="15" customHeight="1"/>
    <row r="15776" ht="15" customHeight="1"/>
    <row r="15777" ht="15" customHeight="1"/>
    <row r="15778" ht="15" customHeight="1"/>
    <row r="15779" ht="15" customHeight="1"/>
    <row r="15780" ht="15" customHeight="1"/>
    <row r="15781" ht="15" customHeight="1"/>
    <row r="15782" ht="15" customHeight="1"/>
    <row r="15783" ht="15" customHeight="1"/>
    <row r="15784" ht="15" customHeight="1"/>
    <row r="15785" ht="15" customHeight="1"/>
    <row r="15786" ht="15" customHeight="1"/>
    <row r="15787" ht="15" customHeight="1"/>
    <row r="15788" ht="15" customHeight="1"/>
    <row r="15789" ht="15" customHeight="1"/>
    <row r="15790" ht="15" customHeight="1"/>
    <row r="15791" ht="15" customHeight="1"/>
    <row r="15792" ht="15" customHeight="1"/>
    <row r="15793" ht="15" customHeight="1"/>
    <row r="15794" ht="15" customHeight="1"/>
    <row r="15795" ht="15" customHeight="1"/>
    <row r="15796" ht="15" customHeight="1"/>
    <row r="15797" ht="15" customHeight="1"/>
    <row r="15798" ht="15" customHeight="1"/>
    <row r="15799" ht="15" customHeight="1"/>
    <row r="15800" ht="15" customHeight="1"/>
    <row r="15801" ht="15" customHeight="1"/>
    <row r="15802" ht="15" customHeight="1"/>
    <row r="15803" ht="15" customHeight="1"/>
    <row r="15804" ht="15" customHeight="1"/>
    <row r="15805" ht="15" customHeight="1"/>
    <row r="15806" ht="15" customHeight="1"/>
    <row r="15807" ht="15" customHeight="1"/>
    <row r="15808" ht="15" customHeight="1"/>
    <row r="15809" ht="15" customHeight="1"/>
    <row r="15810" ht="15" customHeight="1"/>
    <row r="15811" ht="15" customHeight="1"/>
    <row r="15812" ht="15" customHeight="1"/>
    <row r="15813" ht="15" customHeight="1"/>
    <row r="15814" ht="15" customHeight="1"/>
    <row r="15815" ht="15" customHeight="1"/>
    <row r="15816" ht="15" customHeight="1"/>
    <row r="15817" ht="15" customHeight="1"/>
    <row r="15818" ht="15" customHeight="1"/>
    <row r="15819" ht="15" customHeight="1"/>
    <row r="15820" ht="15" customHeight="1"/>
    <row r="15821" ht="15" customHeight="1"/>
    <row r="15822" ht="15" customHeight="1"/>
    <row r="15823" ht="15" customHeight="1"/>
    <row r="15824" ht="15" customHeight="1"/>
    <row r="15825" ht="15" customHeight="1"/>
    <row r="15826" ht="15" customHeight="1"/>
    <row r="15827" ht="15" customHeight="1"/>
    <row r="15828" ht="15" customHeight="1"/>
    <row r="15829" ht="15" customHeight="1"/>
    <row r="15830" ht="15" customHeight="1"/>
    <row r="15831" ht="15" customHeight="1"/>
    <row r="15832" ht="15" customHeight="1"/>
    <row r="15833" ht="15" customHeight="1"/>
    <row r="15834" ht="15" customHeight="1"/>
    <row r="15835" ht="15" customHeight="1"/>
    <row r="15836" ht="15" customHeight="1"/>
    <row r="15837" ht="15" customHeight="1"/>
    <row r="15838" ht="15" customHeight="1"/>
    <row r="15839" ht="15" customHeight="1"/>
    <row r="15840" ht="15" customHeight="1"/>
    <row r="15841" ht="15" customHeight="1"/>
    <row r="15842" ht="15" customHeight="1"/>
    <row r="15843" ht="15" customHeight="1"/>
    <row r="15844" ht="15" customHeight="1"/>
    <row r="15845" ht="15" customHeight="1"/>
    <row r="15846" ht="15" customHeight="1"/>
    <row r="15847" ht="15" customHeight="1"/>
    <row r="15848" ht="15" customHeight="1"/>
    <row r="15849" ht="15" customHeight="1"/>
    <row r="15850" ht="15" customHeight="1"/>
    <row r="15851" ht="15" customHeight="1"/>
    <row r="15852" ht="15" customHeight="1"/>
    <row r="15853" ht="15" customHeight="1"/>
    <row r="15854" ht="15" customHeight="1"/>
    <row r="15855" ht="15" customHeight="1"/>
    <row r="15856" ht="15" customHeight="1"/>
    <row r="15857" ht="15" customHeight="1"/>
    <row r="15858" ht="15" customHeight="1"/>
    <row r="15859" ht="15" customHeight="1"/>
    <row r="15860" ht="15" customHeight="1"/>
    <row r="15861" ht="15" customHeight="1"/>
    <row r="15862" ht="15" customHeight="1"/>
    <row r="15863" ht="15" customHeight="1"/>
    <row r="15864" ht="15" customHeight="1"/>
    <row r="15865" ht="15" customHeight="1"/>
    <row r="15866" ht="15" customHeight="1"/>
    <row r="15867" ht="15" customHeight="1"/>
    <row r="15868" ht="15" customHeight="1"/>
    <row r="15869" ht="15" customHeight="1"/>
    <row r="15870" ht="15" customHeight="1"/>
    <row r="15871" ht="15" customHeight="1"/>
    <row r="15872" ht="15" customHeight="1"/>
    <row r="15873" ht="15" customHeight="1"/>
    <row r="15874" ht="15" customHeight="1"/>
    <row r="15875" ht="15" customHeight="1"/>
    <row r="15876" ht="15" customHeight="1"/>
    <row r="15877" ht="15" customHeight="1"/>
    <row r="15878" ht="15" customHeight="1"/>
    <row r="15879" ht="15" customHeight="1"/>
    <row r="15880" ht="15" customHeight="1"/>
    <row r="15881" ht="15" customHeight="1"/>
    <row r="15882" ht="15" customHeight="1"/>
    <row r="15883" ht="15" customHeight="1"/>
    <row r="15884" ht="15" customHeight="1"/>
    <row r="15885" ht="15" customHeight="1"/>
    <row r="15886" ht="15" customHeight="1"/>
    <row r="15887" ht="15" customHeight="1"/>
    <row r="15888" ht="15" customHeight="1"/>
    <row r="15889" ht="15" customHeight="1"/>
    <row r="15890" ht="15" customHeight="1"/>
    <row r="15891" ht="15" customHeight="1"/>
    <row r="15892" ht="15" customHeight="1"/>
    <row r="15893" ht="15" customHeight="1"/>
    <row r="15894" ht="15" customHeight="1"/>
    <row r="15895" ht="15" customHeight="1"/>
    <row r="15896" ht="15" customHeight="1"/>
    <row r="15897" ht="15" customHeight="1"/>
    <row r="15898" ht="15" customHeight="1"/>
    <row r="15899" ht="15" customHeight="1"/>
    <row r="15900" ht="15" customHeight="1"/>
    <row r="15901" ht="15" customHeight="1"/>
    <row r="15902" ht="15" customHeight="1"/>
    <row r="15903" ht="15" customHeight="1"/>
    <row r="15904" ht="15" customHeight="1"/>
    <row r="15905" ht="15" customHeight="1"/>
    <row r="15906" ht="15" customHeight="1"/>
    <row r="15907" ht="15" customHeight="1"/>
    <row r="15908" ht="15" customHeight="1"/>
    <row r="15909" ht="15" customHeight="1"/>
    <row r="15910" ht="15" customHeight="1"/>
    <row r="15911" ht="15" customHeight="1"/>
    <row r="15912" ht="15" customHeight="1"/>
    <row r="15913" ht="15" customHeight="1"/>
    <row r="15914" ht="15" customHeight="1"/>
    <row r="15915" ht="15" customHeight="1"/>
    <row r="15916" ht="15" customHeight="1"/>
    <row r="15917" ht="15" customHeight="1"/>
    <row r="15918" ht="15" customHeight="1"/>
    <row r="15919" ht="15" customHeight="1"/>
    <row r="15920" ht="15" customHeight="1"/>
    <row r="15921" ht="15" customHeight="1"/>
    <row r="15922" ht="15" customHeight="1"/>
    <row r="15923" ht="15" customHeight="1"/>
    <row r="15924" ht="15" customHeight="1"/>
    <row r="15925" ht="15" customHeight="1"/>
    <row r="15926" ht="15" customHeight="1"/>
    <row r="15927" ht="15" customHeight="1"/>
    <row r="15928" ht="15" customHeight="1"/>
    <row r="15929" ht="15" customHeight="1"/>
    <row r="15930" ht="15" customHeight="1"/>
    <row r="15931" ht="15" customHeight="1"/>
    <row r="15932" ht="15" customHeight="1"/>
    <row r="15933" ht="15" customHeight="1"/>
    <row r="15934" ht="15" customHeight="1"/>
    <row r="15935" ht="15" customHeight="1"/>
    <row r="15936" ht="15" customHeight="1"/>
    <row r="15937" ht="15" customHeight="1"/>
    <row r="15938" ht="15" customHeight="1"/>
    <row r="15939" ht="15" customHeight="1"/>
    <row r="15940" ht="15" customHeight="1"/>
    <row r="15941" ht="15" customHeight="1"/>
    <row r="15942" ht="15" customHeight="1"/>
    <row r="15943" ht="15" customHeight="1"/>
    <row r="15944" ht="15" customHeight="1"/>
    <row r="15945" ht="15" customHeight="1"/>
    <row r="15946" ht="15" customHeight="1"/>
    <row r="15947" ht="15" customHeight="1"/>
    <row r="15948" ht="15" customHeight="1"/>
    <row r="15949" ht="15" customHeight="1"/>
    <row r="15950" ht="15" customHeight="1"/>
    <row r="15951" ht="15" customHeight="1"/>
    <row r="15952" ht="15" customHeight="1"/>
    <row r="15953" ht="15" customHeight="1"/>
    <row r="15954" ht="15" customHeight="1"/>
    <row r="15955" ht="15" customHeight="1"/>
    <row r="15956" ht="15" customHeight="1"/>
    <row r="15957" ht="15" customHeight="1"/>
    <row r="15958" ht="15" customHeight="1"/>
    <row r="15959" ht="15" customHeight="1"/>
    <row r="15960" ht="15" customHeight="1"/>
    <row r="15961" ht="15" customHeight="1"/>
    <row r="15962" ht="15" customHeight="1"/>
    <row r="15963" ht="15" customHeight="1"/>
    <row r="15964" ht="15" customHeight="1"/>
    <row r="15965" ht="15" customHeight="1"/>
    <row r="15966" ht="15" customHeight="1"/>
    <row r="15967" ht="15" customHeight="1"/>
    <row r="15968" ht="15" customHeight="1"/>
    <row r="15969" ht="15" customHeight="1"/>
    <row r="15970" ht="15" customHeight="1"/>
    <row r="15971" ht="15" customHeight="1"/>
    <row r="15972" ht="15" customHeight="1"/>
    <row r="15973" ht="15" customHeight="1"/>
    <row r="15974" ht="15" customHeight="1"/>
    <row r="15975" ht="15" customHeight="1"/>
    <row r="15976" ht="15" customHeight="1"/>
    <row r="15977" ht="15" customHeight="1"/>
    <row r="15978" ht="15" customHeight="1"/>
    <row r="15979" ht="15" customHeight="1"/>
    <row r="15980" ht="15" customHeight="1"/>
    <row r="15981" ht="15" customHeight="1"/>
    <row r="15982" ht="15" customHeight="1"/>
    <row r="15983" ht="15" customHeight="1"/>
    <row r="15984" ht="15" customHeight="1"/>
    <row r="15985" ht="15" customHeight="1"/>
    <row r="15986" ht="15" customHeight="1"/>
    <row r="15987" ht="15" customHeight="1"/>
    <row r="15988" ht="15" customHeight="1"/>
    <row r="15989" ht="15" customHeight="1"/>
    <row r="15990" ht="15" customHeight="1"/>
    <row r="15991" ht="15" customHeight="1"/>
    <row r="15992" ht="15" customHeight="1"/>
    <row r="15993" ht="15" customHeight="1"/>
    <row r="15994" ht="15" customHeight="1"/>
    <row r="15995" ht="15" customHeight="1"/>
    <row r="15996" ht="15" customHeight="1"/>
    <row r="15997" ht="15" customHeight="1"/>
    <row r="15998" ht="15" customHeight="1"/>
    <row r="15999" ht="15" customHeight="1"/>
    <row r="16000" ht="15" customHeight="1"/>
    <row r="16001" ht="15" customHeight="1"/>
    <row r="16002" ht="15" customHeight="1"/>
    <row r="16003" ht="15" customHeight="1"/>
    <row r="16004" ht="15" customHeight="1"/>
    <row r="16005" ht="15" customHeight="1"/>
    <row r="16006" ht="15" customHeight="1"/>
    <row r="16007" ht="15" customHeight="1"/>
    <row r="16008" ht="15" customHeight="1"/>
    <row r="16009" ht="15" customHeight="1"/>
    <row r="16010" ht="15" customHeight="1"/>
    <row r="16011" ht="15" customHeight="1"/>
    <row r="16012" ht="15" customHeight="1"/>
    <row r="16013" ht="15" customHeight="1"/>
    <row r="16014" ht="15" customHeight="1"/>
    <row r="16015" ht="15" customHeight="1"/>
    <row r="16016" ht="15" customHeight="1"/>
    <row r="16017" ht="15" customHeight="1"/>
    <row r="16018" ht="15" customHeight="1"/>
    <row r="16019" ht="15" customHeight="1"/>
    <row r="16020" ht="15" customHeight="1"/>
    <row r="16021" ht="15" customHeight="1"/>
    <row r="16022" ht="15" customHeight="1"/>
    <row r="16023" ht="15" customHeight="1"/>
    <row r="16024" ht="15" customHeight="1"/>
    <row r="16025" ht="15" customHeight="1"/>
    <row r="16026" ht="15" customHeight="1"/>
    <row r="16027" ht="15" customHeight="1"/>
    <row r="16028" ht="15" customHeight="1"/>
    <row r="16029" ht="15" customHeight="1"/>
    <row r="16030" ht="15" customHeight="1"/>
    <row r="16031" ht="15" customHeight="1"/>
    <row r="16032" ht="15" customHeight="1"/>
    <row r="16033" ht="15" customHeight="1"/>
    <row r="16034" ht="15" customHeight="1"/>
    <row r="16035" ht="15" customHeight="1"/>
    <row r="16036" ht="15" customHeight="1"/>
    <row r="16037" ht="15" customHeight="1"/>
    <row r="16038" ht="15" customHeight="1"/>
    <row r="16039" ht="15" customHeight="1"/>
    <row r="16040" ht="15" customHeight="1"/>
    <row r="16041" ht="15" customHeight="1"/>
    <row r="16042" ht="15" customHeight="1"/>
    <row r="16043" ht="15" customHeight="1"/>
    <row r="16044" ht="15" customHeight="1"/>
    <row r="16045" ht="15" customHeight="1"/>
    <row r="16046" ht="15" customHeight="1"/>
    <row r="16047" ht="15" customHeight="1"/>
    <row r="16048" ht="15" customHeight="1"/>
    <row r="16049" ht="15" customHeight="1"/>
    <row r="16050" ht="15" customHeight="1"/>
    <row r="16051" ht="15" customHeight="1"/>
    <row r="16052" ht="15" customHeight="1"/>
    <row r="16053" ht="15" customHeight="1"/>
    <row r="16054" ht="15" customHeight="1"/>
    <row r="16055" ht="15" customHeight="1"/>
    <row r="16056" ht="15" customHeight="1"/>
    <row r="16057" ht="15" customHeight="1"/>
    <row r="16058" ht="15" customHeight="1"/>
    <row r="16059" ht="15" customHeight="1"/>
    <row r="16060" ht="15" customHeight="1"/>
    <row r="16061" ht="15" customHeight="1"/>
    <row r="16062" ht="15" customHeight="1"/>
    <row r="16063" ht="15" customHeight="1"/>
    <row r="16064" ht="15" customHeight="1"/>
    <row r="16065" ht="15" customHeight="1"/>
    <row r="16066" ht="15" customHeight="1"/>
    <row r="16067" ht="15" customHeight="1"/>
    <row r="16068" ht="15" customHeight="1"/>
    <row r="16069" ht="15" customHeight="1"/>
    <row r="16070" ht="15" customHeight="1"/>
    <row r="16071" ht="15" customHeight="1"/>
    <row r="16072" ht="15" customHeight="1"/>
    <row r="16073" ht="15" customHeight="1"/>
    <row r="16074" ht="15" customHeight="1"/>
    <row r="16075" ht="15" customHeight="1"/>
    <row r="16076" ht="15" customHeight="1"/>
    <row r="16077" ht="15" customHeight="1"/>
    <row r="16078" ht="15" customHeight="1"/>
    <row r="16079" ht="15" customHeight="1"/>
    <row r="16080" ht="15" customHeight="1"/>
    <row r="16081" ht="15" customHeight="1"/>
    <row r="16082" ht="15" customHeight="1"/>
    <row r="16083" ht="15" customHeight="1"/>
    <row r="16084" ht="15" customHeight="1"/>
    <row r="16085" ht="15" customHeight="1"/>
    <row r="16086" ht="15" customHeight="1"/>
    <row r="16087" ht="15" customHeight="1"/>
    <row r="16088" ht="15" customHeight="1"/>
    <row r="16089" ht="15" customHeight="1"/>
    <row r="16090" ht="15" customHeight="1"/>
    <row r="16091" ht="15" customHeight="1"/>
    <row r="16092" ht="15" customHeight="1"/>
    <row r="16093" ht="15" customHeight="1"/>
    <row r="16094" ht="15" customHeight="1"/>
    <row r="16095" ht="15" customHeight="1"/>
    <row r="16096" ht="15" customHeight="1"/>
    <row r="16097" ht="15" customHeight="1"/>
    <row r="16098" ht="15" customHeight="1"/>
    <row r="16099" ht="15" customHeight="1"/>
    <row r="16100" ht="15" customHeight="1"/>
    <row r="16101" ht="15" customHeight="1"/>
    <row r="16102" ht="15" customHeight="1"/>
    <row r="16103" ht="15" customHeight="1"/>
    <row r="16104" ht="15" customHeight="1"/>
    <row r="16105" ht="15" customHeight="1"/>
    <row r="16106" ht="15" customHeight="1"/>
    <row r="16107" ht="15" customHeight="1"/>
    <row r="16108" ht="15" customHeight="1"/>
    <row r="16109" ht="15" customHeight="1"/>
    <row r="16110" ht="15" customHeight="1"/>
    <row r="16111" ht="15" customHeight="1"/>
    <row r="16112" ht="15" customHeight="1"/>
    <row r="16113" ht="15" customHeight="1"/>
    <row r="16114" ht="15" customHeight="1"/>
    <row r="16115" ht="15" customHeight="1"/>
    <row r="16116" ht="15" customHeight="1"/>
    <row r="16117" ht="15" customHeight="1"/>
    <row r="16118" ht="15" customHeight="1"/>
    <row r="16119" ht="15" customHeight="1"/>
    <row r="16120" ht="15" customHeight="1"/>
    <row r="16121" ht="15" customHeight="1"/>
    <row r="16122" ht="15" customHeight="1"/>
    <row r="16123" ht="15" customHeight="1"/>
    <row r="16124" ht="15" customHeight="1"/>
    <row r="16125" ht="15" customHeight="1"/>
    <row r="16126" ht="15" customHeight="1"/>
    <row r="16127" ht="15" customHeight="1"/>
    <row r="16128" ht="15" customHeight="1"/>
    <row r="16129" ht="15" customHeight="1"/>
    <row r="16130" ht="15" customHeight="1"/>
    <row r="16131" ht="15" customHeight="1"/>
    <row r="16132" ht="15" customHeight="1"/>
    <row r="16133" ht="15" customHeight="1"/>
    <row r="16134" ht="15" customHeight="1"/>
    <row r="16135" ht="15" customHeight="1"/>
    <row r="16136" ht="15" customHeight="1"/>
    <row r="16137" ht="15" customHeight="1"/>
    <row r="16138" ht="15" customHeight="1"/>
    <row r="16139" ht="15" customHeight="1"/>
    <row r="16140" ht="15" customHeight="1"/>
    <row r="16141" ht="15" customHeight="1"/>
    <row r="16142" ht="15" customHeight="1"/>
    <row r="16143" ht="15" customHeight="1"/>
    <row r="16144" ht="15" customHeight="1"/>
    <row r="16145" ht="15" customHeight="1"/>
    <row r="16146" ht="15" customHeight="1"/>
    <row r="16147" ht="15" customHeight="1"/>
    <row r="16148" ht="15" customHeight="1"/>
    <row r="16149" ht="15" customHeight="1"/>
    <row r="16150" ht="15" customHeight="1"/>
    <row r="16151" ht="15" customHeight="1"/>
    <row r="16152" ht="15" customHeight="1"/>
    <row r="16153" ht="15" customHeight="1"/>
    <row r="16154" ht="15" customHeight="1"/>
    <row r="16155" ht="15" customHeight="1"/>
    <row r="16156" ht="15" customHeight="1"/>
    <row r="16157" ht="15" customHeight="1"/>
    <row r="16158" ht="15" customHeight="1"/>
    <row r="16159" ht="15" customHeight="1"/>
    <row r="16160" ht="15" customHeight="1"/>
    <row r="16161" ht="15" customHeight="1"/>
    <row r="16162" ht="15" customHeight="1"/>
    <row r="16163" ht="15" customHeight="1"/>
    <row r="16164" ht="15" customHeight="1"/>
    <row r="16165" ht="15" customHeight="1"/>
    <row r="16166" ht="15" customHeight="1"/>
    <row r="16167" ht="15" customHeight="1"/>
    <row r="16168" ht="15" customHeight="1"/>
    <row r="16169" ht="15" customHeight="1"/>
    <row r="16170" ht="15" customHeight="1"/>
    <row r="16171" ht="15" customHeight="1"/>
    <row r="16172" ht="15" customHeight="1"/>
    <row r="16173" ht="15" customHeight="1"/>
    <row r="16174" ht="15" customHeight="1"/>
    <row r="16175" ht="15" customHeight="1"/>
    <row r="16176" ht="15" customHeight="1"/>
    <row r="16177" ht="15" customHeight="1"/>
    <row r="16178" ht="15" customHeight="1"/>
    <row r="16179" ht="15" customHeight="1"/>
    <row r="16180" ht="15" customHeight="1"/>
    <row r="16181" ht="15" customHeight="1"/>
    <row r="16182" ht="15" customHeight="1"/>
    <row r="16183" ht="15" customHeight="1"/>
    <row r="16184" ht="15" customHeight="1"/>
    <row r="16185" ht="15" customHeight="1"/>
    <row r="16186" ht="15" customHeight="1"/>
    <row r="16187" ht="15" customHeight="1"/>
    <row r="16188" ht="15" customHeight="1"/>
    <row r="16189" ht="15" customHeight="1"/>
    <row r="16190" ht="15" customHeight="1"/>
    <row r="16191" ht="15" customHeight="1"/>
    <row r="16192" ht="15" customHeight="1"/>
    <row r="16193" ht="15" customHeight="1"/>
    <row r="16194" ht="15" customHeight="1"/>
    <row r="16195" ht="15" customHeight="1"/>
    <row r="16196" ht="15" customHeight="1"/>
    <row r="16197" ht="15" customHeight="1"/>
    <row r="16198" ht="15" customHeight="1"/>
    <row r="16199" ht="15" customHeight="1"/>
    <row r="16200" ht="15" customHeight="1"/>
    <row r="16201" ht="15" customHeight="1"/>
    <row r="16202" ht="15" customHeight="1"/>
    <row r="16203" ht="15" customHeight="1"/>
    <row r="16204" ht="15" customHeight="1"/>
    <row r="16205" ht="15" customHeight="1"/>
    <row r="16206" ht="15" customHeight="1"/>
    <row r="16207" ht="15" customHeight="1"/>
    <row r="16208" ht="15" customHeight="1"/>
    <row r="16209" ht="15" customHeight="1"/>
    <row r="16210" ht="15" customHeight="1"/>
    <row r="16211" ht="15" customHeight="1"/>
    <row r="16212" ht="15" customHeight="1"/>
    <row r="16213" ht="15" customHeight="1"/>
    <row r="16214" ht="15" customHeight="1"/>
    <row r="16215" ht="15" customHeight="1"/>
    <row r="16216" ht="15" customHeight="1"/>
    <row r="16217" ht="15" customHeight="1"/>
    <row r="16218" ht="15" customHeight="1"/>
    <row r="16219" ht="15" customHeight="1"/>
    <row r="16220" ht="15" customHeight="1"/>
    <row r="16221" ht="15" customHeight="1"/>
    <row r="16222" ht="15" customHeight="1"/>
    <row r="16223" ht="15" customHeight="1"/>
    <row r="16224" ht="15" customHeight="1"/>
    <row r="16225" ht="15" customHeight="1"/>
    <row r="16226" ht="15" customHeight="1"/>
    <row r="16227" ht="15" customHeight="1"/>
    <row r="16228" ht="15" customHeight="1"/>
    <row r="16229" ht="15" customHeight="1"/>
    <row r="16230" ht="15" customHeight="1"/>
    <row r="16231" ht="15" customHeight="1"/>
    <row r="16232" ht="15" customHeight="1"/>
    <row r="16233" ht="15" customHeight="1"/>
    <row r="16234" ht="15" customHeight="1"/>
    <row r="16235" ht="15" customHeight="1"/>
    <row r="16236" ht="15" customHeight="1"/>
    <row r="16237" ht="15" customHeight="1"/>
    <row r="16238" ht="15" customHeight="1"/>
    <row r="16239" ht="15" customHeight="1"/>
    <row r="16240" ht="15" customHeight="1"/>
    <row r="16241" ht="15" customHeight="1"/>
    <row r="16242" ht="15" customHeight="1"/>
    <row r="16243" ht="15" customHeight="1"/>
    <row r="16244" ht="15" customHeight="1"/>
    <row r="16245" ht="15" customHeight="1"/>
    <row r="16246" ht="15" customHeight="1"/>
    <row r="16247" ht="15" customHeight="1"/>
    <row r="16248" ht="15" customHeight="1"/>
    <row r="16249" ht="15" customHeight="1"/>
    <row r="16250" ht="15" customHeight="1"/>
    <row r="16251" ht="15" customHeight="1"/>
    <row r="16252" ht="15" customHeight="1"/>
    <row r="16253" ht="15" customHeight="1"/>
    <row r="16254" ht="15" customHeight="1"/>
    <row r="16255" ht="15" customHeight="1"/>
    <row r="16256" ht="15" customHeight="1"/>
    <row r="16257" ht="15" customHeight="1"/>
    <row r="16258" ht="15" customHeight="1"/>
    <row r="16259" ht="15" customHeight="1"/>
    <row r="16260" ht="15" customHeight="1"/>
    <row r="16261" ht="15" customHeight="1"/>
    <row r="16262" ht="15" customHeight="1"/>
    <row r="16263" ht="15" customHeight="1"/>
    <row r="16264" ht="15" customHeight="1"/>
    <row r="16265" ht="15" customHeight="1"/>
    <row r="16266" ht="15" customHeight="1"/>
    <row r="16267" ht="15" customHeight="1"/>
    <row r="16268" ht="15" customHeight="1"/>
    <row r="16269" ht="15" customHeight="1"/>
    <row r="16270" ht="15" customHeight="1"/>
    <row r="16271" ht="15" customHeight="1"/>
    <row r="16272" ht="15" customHeight="1"/>
    <row r="16273" ht="15" customHeight="1"/>
    <row r="16274" ht="15" customHeight="1"/>
    <row r="16275" ht="15" customHeight="1"/>
    <row r="16276" ht="15" customHeight="1"/>
    <row r="16277" ht="15" customHeight="1"/>
    <row r="16278" ht="15" customHeight="1"/>
    <row r="16279" ht="15" customHeight="1"/>
    <row r="16280" ht="15" customHeight="1"/>
    <row r="16281" ht="15" customHeight="1"/>
    <row r="16282" ht="15" customHeight="1"/>
    <row r="16283" ht="15" customHeight="1"/>
    <row r="16284" ht="15" customHeight="1"/>
    <row r="16285" ht="15" customHeight="1"/>
    <row r="16286" ht="15" customHeight="1"/>
    <row r="16287" ht="15" customHeight="1"/>
    <row r="16288" ht="15" customHeight="1"/>
    <row r="16289" ht="15" customHeight="1"/>
    <row r="16290" ht="15" customHeight="1"/>
    <row r="16291" ht="15" customHeight="1"/>
    <row r="16292" ht="15" customHeight="1"/>
    <row r="16293" ht="15" customHeight="1"/>
    <row r="16294" ht="15" customHeight="1"/>
    <row r="16295" ht="15" customHeight="1"/>
    <row r="16296" ht="15" customHeight="1"/>
    <row r="16297" ht="15" customHeight="1"/>
    <row r="16298" ht="15" customHeight="1"/>
    <row r="16299" ht="15" customHeight="1"/>
    <row r="16300" ht="15" customHeight="1"/>
    <row r="16301" ht="15" customHeight="1"/>
    <row r="16302" ht="15" customHeight="1"/>
    <row r="16303" ht="15" customHeight="1"/>
    <row r="16304" ht="15" customHeight="1"/>
    <row r="16305" ht="15" customHeight="1"/>
    <row r="16306" ht="15" customHeight="1"/>
    <row r="16307" ht="15" customHeight="1"/>
    <row r="16308" ht="15" customHeight="1"/>
    <row r="16309" ht="15" customHeight="1"/>
    <row r="16310" ht="15" customHeight="1"/>
    <row r="16311" ht="15" customHeight="1"/>
    <row r="16312" ht="15" customHeight="1"/>
    <row r="16313" ht="15" customHeight="1"/>
    <row r="16314" ht="15" customHeight="1"/>
    <row r="16315" ht="15" customHeight="1"/>
    <row r="16316" ht="15" customHeight="1"/>
    <row r="16317" ht="15" customHeight="1"/>
    <row r="16318" ht="15" customHeight="1"/>
    <row r="16319" ht="15" customHeight="1"/>
    <row r="16320" ht="15" customHeight="1"/>
    <row r="16321" ht="15" customHeight="1"/>
    <row r="16322" ht="15" customHeight="1"/>
    <row r="16323" ht="15" customHeight="1"/>
    <row r="16324" ht="15" customHeight="1"/>
    <row r="16325" ht="15" customHeight="1"/>
    <row r="16326" ht="15" customHeight="1"/>
    <row r="16327" ht="15" customHeight="1"/>
    <row r="16328" ht="15" customHeight="1"/>
    <row r="16329" ht="15" customHeight="1"/>
    <row r="16330" ht="15" customHeight="1"/>
    <row r="16331" ht="15" customHeight="1"/>
    <row r="16332" ht="15" customHeight="1"/>
    <row r="16333" ht="15" customHeight="1"/>
    <row r="16334" ht="15" customHeight="1"/>
    <row r="16335" ht="15" customHeight="1"/>
    <row r="16336" ht="15" customHeight="1"/>
    <row r="16337" ht="15" customHeight="1"/>
    <row r="16338" ht="15" customHeight="1"/>
    <row r="16339" ht="15" customHeight="1"/>
    <row r="16340" ht="15" customHeight="1"/>
    <row r="16341" ht="15" customHeight="1"/>
    <row r="16342" ht="15" customHeight="1"/>
    <row r="16343" ht="15" customHeight="1"/>
    <row r="16344" ht="15" customHeight="1"/>
    <row r="16345" ht="15" customHeight="1"/>
    <row r="16346" ht="15" customHeight="1"/>
    <row r="16347" ht="15" customHeight="1"/>
    <row r="16348" ht="15" customHeight="1"/>
    <row r="16349" ht="15" customHeight="1"/>
    <row r="16350" ht="15" customHeight="1"/>
    <row r="16351" ht="15" customHeight="1"/>
    <row r="16352" ht="15" customHeight="1"/>
    <row r="16353" ht="15" customHeight="1"/>
    <row r="16354" ht="15" customHeight="1"/>
    <row r="16355" ht="15" customHeight="1"/>
    <row r="16356" ht="15" customHeight="1"/>
    <row r="16357" ht="15" customHeight="1"/>
    <row r="16358" ht="15" customHeight="1"/>
    <row r="16359" ht="15" customHeight="1"/>
    <row r="16360" ht="15" customHeight="1"/>
    <row r="16361" ht="15" customHeight="1"/>
    <row r="16362" ht="15" customHeight="1"/>
    <row r="16363" ht="15" customHeight="1"/>
    <row r="16364" ht="15" customHeight="1"/>
    <row r="16365" ht="15" customHeight="1"/>
    <row r="16366" ht="15" customHeight="1"/>
    <row r="16367" ht="15" customHeight="1"/>
    <row r="16368" ht="15" customHeight="1"/>
    <row r="16369" ht="15" customHeight="1"/>
    <row r="16370" ht="15" customHeight="1"/>
    <row r="16371" ht="15" customHeight="1"/>
    <row r="16372" ht="15" customHeight="1"/>
    <row r="16373" ht="15" customHeight="1"/>
    <row r="16374" ht="15" customHeight="1"/>
    <row r="16375" ht="15" customHeight="1"/>
    <row r="16376" ht="15" customHeight="1"/>
    <row r="16377" ht="15" customHeight="1"/>
    <row r="16378" ht="15" customHeight="1"/>
    <row r="16379" ht="15" customHeight="1"/>
    <row r="16380" ht="15" customHeight="1"/>
    <row r="16381" ht="15" customHeight="1"/>
    <row r="16382" ht="15" customHeight="1"/>
    <row r="16383" ht="15" customHeight="1"/>
    <row r="16384" ht="15" customHeight="1"/>
    <row r="16385" ht="15" customHeight="1"/>
    <row r="16386" ht="15" customHeight="1"/>
    <row r="16387" ht="15" customHeight="1"/>
    <row r="16388" ht="15" customHeight="1"/>
    <row r="16389" ht="15" customHeight="1"/>
    <row r="16390" ht="15" customHeight="1"/>
    <row r="16391" ht="15" customHeight="1"/>
    <row r="16392" ht="15" customHeight="1"/>
    <row r="16393" ht="15" customHeight="1"/>
    <row r="16394" ht="15" customHeight="1"/>
    <row r="16395" ht="15" customHeight="1"/>
    <row r="16396" ht="15" customHeight="1"/>
    <row r="16397" ht="15" customHeight="1"/>
    <row r="16398" ht="15" customHeight="1"/>
    <row r="16399" ht="15" customHeight="1"/>
    <row r="16400" ht="15" customHeight="1"/>
    <row r="16401" ht="15" customHeight="1"/>
    <row r="16402" ht="15" customHeight="1"/>
    <row r="16403" ht="15" customHeight="1"/>
    <row r="16404" ht="15" customHeight="1"/>
    <row r="16405" ht="15" customHeight="1"/>
    <row r="16406" ht="15" customHeight="1"/>
    <row r="16407" ht="15" customHeight="1"/>
    <row r="16408" ht="15" customHeight="1"/>
    <row r="16409" ht="15" customHeight="1"/>
    <row r="16410" ht="15" customHeight="1"/>
    <row r="16411" ht="15" customHeight="1"/>
    <row r="16412" ht="15" customHeight="1"/>
    <row r="16413" ht="15" customHeight="1"/>
    <row r="16414" ht="15" customHeight="1"/>
    <row r="16415" ht="15" customHeight="1"/>
    <row r="16416" ht="15" customHeight="1"/>
    <row r="16417" ht="15" customHeight="1"/>
    <row r="16418" ht="15" customHeight="1"/>
    <row r="16419" ht="15" customHeight="1"/>
    <row r="16420" ht="15" customHeight="1"/>
    <row r="16421" ht="15" customHeight="1"/>
    <row r="16422" ht="15" customHeight="1"/>
    <row r="16423" ht="15" customHeight="1"/>
    <row r="16424" ht="15" customHeight="1"/>
    <row r="16425" ht="15" customHeight="1"/>
    <row r="16426" ht="15" customHeight="1"/>
    <row r="16427" ht="15" customHeight="1"/>
    <row r="16428" ht="15" customHeight="1"/>
    <row r="16429" ht="15" customHeight="1"/>
    <row r="16430" ht="15" customHeight="1"/>
    <row r="16431" ht="15" customHeight="1"/>
    <row r="16432" ht="15" customHeight="1"/>
    <row r="16433" ht="15" customHeight="1"/>
    <row r="16434" ht="15" customHeight="1"/>
    <row r="16435" ht="15" customHeight="1"/>
    <row r="16436" ht="15" customHeight="1"/>
    <row r="16437" ht="15" customHeight="1"/>
    <row r="16438" ht="15" customHeight="1"/>
    <row r="16439" ht="15" customHeight="1"/>
    <row r="16440" ht="15" customHeight="1"/>
    <row r="16441" ht="15" customHeight="1"/>
    <row r="16442" ht="15" customHeight="1"/>
    <row r="16443" ht="15" customHeight="1"/>
    <row r="16444" ht="15" customHeight="1"/>
    <row r="16445" ht="15" customHeight="1"/>
    <row r="16446" ht="15" customHeight="1"/>
    <row r="16447" ht="15" customHeight="1"/>
    <row r="16448" ht="15" customHeight="1"/>
    <row r="16449" ht="15" customHeight="1"/>
    <row r="16450" ht="15" customHeight="1"/>
    <row r="16451" ht="15" customHeight="1"/>
    <row r="16452" ht="15" customHeight="1"/>
    <row r="16453" ht="15" customHeight="1"/>
    <row r="16454" ht="15" customHeight="1"/>
    <row r="16455" ht="15" customHeight="1"/>
    <row r="16456" ht="15" customHeight="1"/>
    <row r="16457" ht="15" customHeight="1"/>
    <row r="16458" ht="15" customHeight="1"/>
    <row r="16459" ht="15" customHeight="1"/>
    <row r="16460" ht="15" customHeight="1"/>
    <row r="16461" ht="15" customHeight="1"/>
    <row r="16462" ht="15" customHeight="1"/>
    <row r="16463" ht="15" customHeight="1"/>
    <row r="16464" ht="15" customHeight="1"/>
    <row r="16465" ht="15" customHeight="1"/>
    <row r="16466" ht="15" customHeight="1"/>
    <row r="16467" ht="15" customHeight="1"/>
    <row r="16468" ht="15" customHeight="1"/>
    <row r="16469" ht="15" customHeight="1"/>
    <row r="16470" ht="15" customHeight="1"/>
    <row r="16471" ht="15" customHeight="1"/>
    <row r="16472" ht="15" customHeight="1"/>
    <row r="16473" ht="15" customHeight="1"/>
    <row r="16474" ht="15" customHeight="1"/>
    <row r="16475" ht="15" customHeight="1"/>
    <row r="16476" ht="15" customHeight="1"/>
    <row r="16477" ht="15" customHeight="1"/>
    <row r="16478" ht="15" customHeight="1"/>
    <row r="16479" ht="15" customHeight="1"/>
    <row r="16480" ht="15" customHeight="1"/>
    <row r="16481" ht="15" customHeight="1"/>
    <row r="16482" ht="15" customHeight="1"/>
    <row r="16483" ht="15" customHeight="1"/>
    <row r="16484" ht="15" customHeight="1"/>
    <row r="16485" ht="15" customHeight="1"/>
    <row r="16486" ht="15" customHeight="1"/>
    <row r="16487" ht="15" customHeight="1"/>
    <row r="16488" ht="15" customHeight="1"/>
    <row r="16489" ht="15" customHeight="1"/>
    <row r="16490" ht="15" customHeight="1"/>
    <row r="16491" ht="15" customHeight="1"/>
    <row r="16492" ht="15" customHeight="1"/>
    <row r="16493" ht="15" customHeight="1"/>
    <row r="16494" ht="15" customHeight="1"/>
    <row r="16495" ht="15" customHeight="1"/>
    <row r="16496" ht="15" customHeight="1"/>
    <row r="16497" ht="15" customHeight="1"/>
    <row r="16498" ht="15" customHeight="1"/>
    <row r="16499" ht="15" customHeight="1"/>
    <row r="16500" ht="15" customHeight="1"/>
    <row r="16501" ht="15" customHeight="1"/>
    <row r="16502" ht="15" customHeight="1"/>
    <row r="16503" ht="15" customHeight="1"/>
    <row r="16504" ht="15" customHeight="1"/>
    <row r="16505" ht="15" customHeight="1"/>
    <row r="16506" ht="15" customHeight="1"/>
    <row r="16507" ht="15" customHeight="1"/>
    <row r="16508" ht="15" customHeight="1"/>
    <row r="16509" ht="15" customHeight="1"/>
    <row r="16510" ht="15" customHeight="1"/>
    <row r="16511" ht="15" customHeight="1"/>
    <row r="16512" ht="15" customHeight="1"/>
    <row r="16513" ht="15" customHeight="1"/>
    <row r="16514" ht="15" customHeight="1"/>
    <row r="16515" ht="15" customHeight="1"/>
    <row r="16516" ht="15" customHeight="1"/>
    <row r="16517" ht="15" customHeight="1"/>
    <row r="16518" ht="15" customHeight="1"/>
    <row r="16519" ht="15" customHeight="1"/>
    <row r="16520" ht="15" customHeight="1"/>
    <row r="16521" ht="15" customHeight="1"/>
    <row r="16522" ht="15" customHeight="1"/>
    <row r="16523" ht="15" customHeight="1"/>
    <row r="16524" ht="15" customHeight="1"/>
    <row r="16525" ht="15" customHeight="1"/>
    <row r="16526" ht="15" customHeight="1"/>
    <row r="16527" ht="15" customHeight="1"/>
    <row r="16528" ht="15" customHeight="1"/>
    <row r="16529" ht="15" customHeight="1"/>
    <row r="16530" ht="15" customHeight="1"/>
    <row r="16531" ht="15" customHeight="1"/>
    <row r="16532" ht="15" customHeight="1"/>
    <row r="16533" ht="15" customHeight="1"/>
    <row r="16534" ht="15" customHeight="1"/>
    <row r="16535" ht="15" customHeight="1"/>
    <row r="16536" ht="15" customHeight="1"/>
    <row r="16537" ht="15" customHeight="1"/>
    <row r="16538" ht="15" customHeight="1"/>
    <row r="16539" ht="15" customHeight="1"/>
    <row r="16540" ht="15" customHeight="1"/>
    <row r="16541" ht="15" customHeight="1"/>
    <row r="16542" ht="15" customHeight="1"/>
    <row r="16543" ht="15" customHeight="1"/>
    <row r="16544" ht="15" customHeight="1"/>
    <row r="16545" ht="15" customHeight="1"/>
    <row r="16546" ht="15" customHeight="1"/>
    <row r="16547" ht="15" customHeight="1"/>
    <row r="16548" ht="15" customHeight="1"/>
    <row r="16549" ht="15" customHeight="1"/>
    <row r="16550" ht="15" customHeight="1"/>
    <row r="16551" ht="15" customHeight="1"/>
    <row r="16552" ht="15" customHeight="1"/>
    <row r="16553" ht="15" customHeight="1"/>
    <row r="16554" ht="15" customHeight="1"/>
    <row r="16555" ht="15" customHeight="1"/>
    <row r="16556" ht="15" customHeight="1"/>
    <row r="16557" ht="15" customHeight="1"/>
    <row r="16558" ht="15" customHeight="1"/>
    <row r="16559" ht="15" customHeight="1"/>
    <row r="16560" ht="15" customHeight="1"/>
    <row r="16561" ht="15" customHeight="1"/>
    <row r="16562" ht="15" customHeight="1"/>
    <row r="16563" ht="15" customHeight="1"/>
    <row r="16564" ht="15" customHeight="1"/>
    <row r="16565" ht="15" customHeight="1"/>
    <row r="16566" ht="15" customHeight="1"/>
    <row r="16567" ht="15" customHeight="1"/>
    <row r="16568" ht="15" customHeight="1"/>
    <row r="16569" ht="15" customHeight="1"/>
    <row r="16570" ht="15" customHeight="1"/>
    <row r="16571" ht="15" customHeight="1"/>
    <row r="16572" ht="15" customHeight="1"/>
    <row r="16573" ht="15" customHeight="1"/>
    <row r="16574" ht="15" customHeight="1"/>
    <row r="16575" ht="15" customHeight="1"/>
    <row r="16576" ht="15" customHeight="1"/>
    <row r="16577" ht="15" customHeight="1"/>
    <row r="16578" ht="15" customHeight="1"/>
    <row r="16579" ht="15" customHeight="1"/>
    <row r="16580" ht="15" customHeight="1"/>
    <row r="16581" ht="15" customHeight="1"/>
    <row r="16582" ht="15" customHeight="1"/>
    <row r="16583" ht="15" customHeight="1"/>
    <row r="16584" ht="15" customHeight="1"/>
    <row r="16585" ht="15" customHeight="1"/>
    <row r="16586" ht="15" customHeight="1"/>
    <row r="16587" ht="15" customHeight="1"/>
    <row r="16588" ht="15" customHeight="1"/>
    <row r="16589" ht="15" customHeight="1"/>
    <row r="16590" ht="15" customHeight="1"/>
    <row r="16591" ht="15" customHeight="1"/>
    <row r="16592" ht="15" customHeight="1"/>
    <row r="16593" ht="15" customHeight="1"/>
    <row r="16594" ht="15" customHeight="1"/>
    <row r="16595" ht="15" customHeight="1"/>
    <row r="16596" ht="15" customHeight="1"/>
    <row r="16597" ht="15" customHeight="1"/>
    <row r="16598" ht="15" customHeight="1"/>
    <row r="16599" ht="15" customHeight="1"/>
    <row r="16600" ht="15" customHeight="1"/>
    <row r="16601" ht="15" customHeight="1"/>
    <row r="16602" ht="15" customHeight="1"/>
    <row r="16603" ht="15" customHeight="1"/>
    <row r="16604" ht="15" customHeight="1"/>
    <row r="16605" ht="15" customHeight="1"/>
    <row r="16606" ht="15" customHeight="1"/>
    <row r="16607" ht="15" customHeight="1"/>
    <row r="16608" ht="15" customHeight="1"/>
    <row r="16609" ht="15" customHeight="1"/>
    <row r="16610" ht="15" customHeight="1"/>
    <row r="16611" ht="15" customHeight="1"/>
    <row r="16612" ht="15" customHeight="1"/>
    <row r="16613" ht="15" customHeight="1"/>
    <row r="16614" ht="15" customHeight="1"/>
    <row r="16615" ht="15" customHeight="1"/>
    <row r="16616" ht="15" customHeight="1"/>
    <row r="16617" ht="15" customHeight="1"/>
    <row r="16618" ht="15" customHeight="1"/>
    <row r="16619" ht="15" customHeight="1"/>
    <row r="16620" ht="15" customHeight="1"/>
    <row r="16621" ht="15" customHeight="1"/>
    <row r="16622" ht="15" customHeight="1"/>
    <row r="16623" ht="15" customHeight="1"/>
    <row r="16624" ht="15" customHeight="1"/>
    <row r="16625" ht="15" customHeight="1"/>
    <row r="16626" ht="15" customHeight="1"/>
    <row r="16627" ht="15" customHeight="1"/>
    <row r="16628" ht="15" customHeight="1"/>
    <row r="16629" ht="15" customHeight="1"/>
    <row r="16630" ht="15" customHeight="1"/>
    <row r="16631" ht="15" customHeight="1"/>
    <row r="16632" ht="15" customHeight="1"/>
    <row r="16633" ht="15" customHeight="1"/>
    <row r="16634" ht="15" customHeight="1"/>
    <row r="16635" ht="15" customHeight="1"/>
    <row r="16636" ht="15" customHeight="1"/>
    <row r="16637" ht="15" customHeight="1"/>
    <row r="16638" ht="15" customHeight="1"/>
    <row r="16639" ht="15" customHeight="1"/>
    <row r="16640" ht="15" customHeight="1"/>
    <row r="16641" ht="15" customHeight="1"/>
    <row r="16642" ht="15" customHeight="1"/>
    <row r="16643" ht="15" customHeight="1"/>
    <row r="16644" ht="15" customHeight="1"/>
    <row r="16645" ht="15" customHeight="1"/>
    <row r="16646" ht="15" customHeight="1"/>
    <row r="16647" ht="15" customHeight="1"/>
    <row r="16648" ht="15" customHeight="1"/>
    <row r="16649" ht="15" customHeight="1"/>
    <row r="16650" ht="15" customHeight="1"/>
    <row r="16651" ht="15" customHeight="1"/>
    <row r="16652" ht="15" customHeight="1"/>
    <row r="16653" ht="15" customHeight="1"/>
    <row r="16654" ht="15" customHeight="1"/>
    <row r="16655" ht="15" customHeight="1"/>
    <row r="16656" ht="15" customHeight="1"/>
    <row r="16657" ht="15" customHeight="1"/>
    <row r="16658" ht="15" customHeight="1"/>
    <row r="16659" ht="15" customHeight="1"/>
    <row r="16660" ht="15" customHeight="1"/>
    <row r="16661" ht="15" customHeight="1"/>
    <row r="16662" ht="15" customHeight="1"/>
    <row r="16663" ht="15" customHeight="1"/>
    <row r="16664" ht="15" customHeight="1"/>
    <row r="16665" ht="15" customHeight="1"/>
    <row r="16666" ht="15" customHeight="1"/>
    <row r="16667" ht="15" customHeight="1"/>
    <row r="16668" ht="15" customHeight="1"/>
    <row r="16669" ht="15" customHeight="1"/>
    <row r="16670" ht="15" customHeight="1"/>
    <row r="16671" ht="15" customHeight="1"/>
    <row r="16672" ht="15" customHeight="1"/>
    <row r="16673" ht="15" customHeight="1"/>
    <row r="16674" ht="15" customHeight="1"/>
    <row r="16675" ht="15" customHeight="1"/>
    <row r="16676" ht="15" customHeight="1"/>
    <row r="16677" ht="15" customHeight="1"/>
    <row r="16678" ht="15" customHeight="1"/>
    <row r="16679" ht="15" customHeight="1"/>
    <row r="16680" ht="15" customHeight="1"/>
    <row r="16681" ht="15" customHeight="1"/>
    <row r="16682" ht="15" customHeight="1"/>
    <row r="16683" ht="15" customHeight="1"/>
    <row r="16684" ht="15" customHeight="1"/>
    <row r="16685" ht="15" customHeight="1"/>
    <row r="16686" ht="15" customHeight="1"/>
    <row r="16687" ht="15" customHeight="1"/>
    <row r="16688" ht="15" customHeight="1"/>
    <row r="16689" ht="15" customHeight="1"/>
    <row r="16690" ht="15" customHeight="1"/>
    <row r="16691" ht="15" customHeight="1"/>
    <row r="16692" ht="15" customHeight="1"/>
    <row r="16693" ht="15" customHeight="1"/>
    <row r="16694" ht="15" customHeight="1"/>
    <row r="16695" ht="15" customHeight="1"/>
    <row r="16696" ht="15" customHeight="1"/>
    <row r="16697" ht="15" customHeight="1"/>
    <row r="16698" ht="15" customHeight="1"/>
    <row r="16699" ht="15" customHeight="1"/>
    <row r="16700" ht="15" customHeight="1"/>
    <row r="16701" ht="15" customHeight="1"/>
    <row r="16702" ht="15" customHeight="1"/>
    <row r="16703" ht="15" customHeight="1"/>
    <row r="16704" ht="15" customHeight="1"/>
    <row r="16705" ht="15" customHeight="1"/>
    <row r="16706" ht="15" customHeight="1"/>
    <row r="16707" ht="15" customHeight="1"/>
    <row r="16708" ht="15" customHeight="1"/>
    <row r="16709" ht="15" customHeight="1"/>
    <row r="16710" ht="15" customHeight="1"/>
    <row r="16711" ht="15" customHeight="1"/>
    <row r="16712" ht="15" customHeight="1"/>
    <row r="16713" ht="15" customHeight="1"/>
    <row r="16714" ht="15" customHeight="1"/>
    <row r="16715" ht="15" customHeight="1"/>
    <row r="16716" ht="15" customHeight="1"/>
    <row r="16717" ht="15" customHeight="1"/>
    <row r="16718" ht="15" customHeight="1"/>
    <row r="16719" ht="15" customHeight="1"/>
    <row r="16720" ht="15" customHeight="1"/>
    <row r="16721" ht="15" customHeight="1"/>
    <row r="16722" ht="15" customHeight="1"/>
    <row r="16723" ht="15" customHeight="1"/>
    <row r="16724" ht="15" customHeight="1"/>
    <row r="16725" ht="15" customHeight="1"/>
    <row r="16726" ht="15" customHeight="1"/>
    <row r="16727" ht="15" customHeight="1"/>
    <row r="16728" ht="15" customHeight="1"/>
    <row r="16729" ht="15" customHeight="1"/>
    <row r="16730" ht="15" customHeight="1"/>
    <row r="16731" ht="15" customHeight="1"/>
    <row r="16732" ht="15" customHeight="1"/>
    <row r="16733" ht="15" customHeight="1"/>
    <row r="16734" ht="15" customHeight="1"/>
    <row r="16735" ht="15" customHeight="1"/>
    <row r="16736" ht="15" customHeight="1"/>
    <row r="16737" ht="15" customHeight="1"/>
    <row r="16738" ht="15" customHeight="1"/>
    <row r="16739" ht="15" customHeight="1"/>
    <row r="16740" ht="15" customHeight="1"/>
    <row r="16741" ht="15" customHeight="1"/>
    <row r="16742" ht="15" customHeight="1"/>
    <row r="16743" ht="15" customHeight="1"/>
    <row r="16744" ht="15" customHeight="1"/>
    <row r="16745" ht="15" customHeight="1"/>
    <row r="16746" ht="15" customHeight="1"/>
    <row r="16747" ht="15" customHeight="1"/>
    <row r="16748" ht="15" customHeight="1"/>
    <row r="16749" ht="15" customHeight="1"/>
    <row r="16750" ht="15" customHeight="1"/>
    <row r="16751" ht="15" customHeight="1"/>
    <row r="16752" ht="15" customHeight="1"/>
    <row r="16753" ht="15" customHeight="1"/>
    <row r="16754" ht="15" customHeight="1"/>
    <row r="16755" ht="15" customHeight="1"/>
    <row r="16756" ht="15" customHeight="1"/>
    <row r="16757" ht="15" customHeight="1"/>
    <row r="16758" ht="15" customHeight="1"/>
    <row r="16759" ht="15" customHeight="1"/>
    <row r="16760" ht="15" customHeight="1"/>
    <row r="16761" ht="15" customHeight="1"/>
    <row r="16762" ht="15" customHeight="1"/>
    <row r="16763" ht="15" customHeight="1"/>
    <row r="16764" ht="15" customHeight="1"/>
    <row r="16765" ht="15" customHeight="1"/>
    <row r="16766" ht="15" customHeight="1"/>
    <row r="16767" ht="15" customHeight="1"/>
    <row r="16768" ht="15" customHeight="1"/>
    <row r="16769" ht="15" customHeight="1"/>
    <row r="16770" ht="15" customHeight="1"/>
    <row r="16771" ht="15" customHeight="1"/>
    <row r="16772" ht="15" customHeight="1"/>
    <row r="16773" ht="15" customHeight="1"/>
    <row r="16774" ht="15" customHeight="1"/>
    <row r="16775" ht="15" customHeight="1"/>
    <row r="16776" ht="15" customHeight="1"/>
    <row r="16777" ht="15" customHeight="1"/>
    <row r="16778" ht="15" customHeight="1"/>
    <row r="16779" ht="15" customHeight="1"/>
    <row r="16780" ht="15" customHeight="1"/>
    <row r="16781" ht="15" customHeight="1"/>
    <row r="16782" ht="15" customHeight="1"/>
    <row r="16783" ht="15" customHeight="1"/>
    <row r="16784" ht="15" customHeight="1"/>
    <row r="16785" ht="15" customHeight="1"/>
    <row r="16786" ht="15" customHeight="1"/>
    <row r="16787" ht="15" customHeight="1"/>
    <row r="16788" ht="15" customHeight="1"/>
    <row r="16789" ht="15" customHeight="1"/>
    <row r="16790" ht="15" customHeight="1"/>
    <row r="16791" ht="15" customHeight="1"/>
    <row r="16792" ht="15" customHeight="1"/>
    <row r="16793" ht="15" customHeight="1"/>
    <row r="16794" ht="15" customHeight="1"/>
    <row r="16795" ht="15" customHeight="1"/>
    <row r="16796" ht="15" customHeight="1"/>
    <row r="16797" ht="15" customHeight="1"/>
    <row r="16798" ht="15" customHeight="1"/>
    <row r="16799" ht="15" customHeight="1"/>
    <row r="16800" ht="15" customHeight="1"/>
    <row r="16801" ht="15" customHeight="1"/>
    <row r="16802" ht="15" customHeight="1"/>
    <row r="16803" ht="15" customHeight="1"/>
    <row r="16804" ht="15" customHeight="1"/>
    <row r="16805" ht="15" customHeight="1"/>
    <row r="16806" ht="15" customHeight="1"/>
    <row r="16807" ht="15" customHeight="1"/>
    <row r="16808" ht="15" customHeight="1"/>
    <row r="16809" ht="15" customHeight="1"/>
    <row r="16810" ht="15" customHeight="1"/>
    <row r="16811" ht="15" customHeight="1"/>
    <row r="16812" ht="15" customHeight="1"/>
    <row r="16813" ht="15" customHeight="1"/>
    <row r="16814" ht="15" customHeight="1"/>
    <row r="16815" ht="15" customHeight="1"/>
    <row r="16816" ht="15" customHeight="1"/>
    <row r="16817" ht="15" customHeight="1"/>
    <row r="16818" ht="15" customHeight="1"/>
    <row r="16819" ht="15" customHeight="1"/>
    <row r="16820" ht="15" customHeight="1"/>
    <row r="16821" ht="15" customHeight="1"/>
    <row r="16822" ht="15" customHeight="1"/>
    <row r="16823" ht="15" customHeight="1"/>
    <row r="16824" ht="15" customHeight="1"/>
    <row r="16825" ht="15" customHeight="1"/>
    <row r="16826" ht="15" customHeight="1"/>
    <row r="16827" ht="15" customHeight="1"/>
    <row r="16828" ht="15" customHeight="1"/>
    <row r="16829" ht="15" customHeight="1"/>
    <row r="16830" ht="15" customHeight="1"/>
    <row r="16831" ht="15" customHeight="1"/>
    <row r="16832" ht="15" customHeight="1"/>
    <row r="16833" ht="15" customHeight="1"/>
    <row r="16834" ht="15" customHeight="1"/>
    <row r="16835" ht="15" customHeight="1"/>
    <row r="16836" ht="15" customHeight="1"/>
    <row r="16837" ht="15" customHeight="1"/>
    <row r="16838" ht="15" customHeight="1"/>
    <row r="16839" ht="15" customHeight="1"/>
    <row r="16840" ht="15" customHeight="1"/>
    <row r="16841" ht="15" customHeight="1"/>
    <row r="16842" ht="15" customHeight="1"/>
    <row r="16843" ht="15" customHeight="1"/>
    <row r="16844" ht="15" customHeight="1"/>
    <row r="16845" ht="15" customHeight="1"/>
    <row r="16846" ht="15" customHeight="1"/>
    <row r="16847" ht="15" customHeight="1"/>
    <row r="16848" ht="15" customHeight="1"/>
    <row r="16849" ht="15" customHeight="1"/>
    <row r="16850" ht="15" customHeight="1"/>
    <row r="16851" ht="15" customHeight="1"/>
    <row r="16852" ht="15" customHeight="1"/>
    <row r="16853" ht="15" customHeight="1"/>
    <row r="16854" ht="15" customHeight="1"/>
    <row r="16855" ht="15" customHeight="1"/>
    <row r="16856" ht="15" customHeight="1"/>
    <row r="16857" ht="15" customHeight="1"/>
    <row r="16858" ht="15" customHeight="1"/>
    <row r="16859" ht="15" customHeight="1"/>
    <row r="16860" ht="15" customHeight="1"/>
    <row r="16861" ht="15" customHeight="1"/>
    <row r="16862" ht="15" customHeight="1"/>
    <row r="16863" ht="15" customHeight="1"/>
    <row r="16864" ht="15" customHeight="1"/>
    <row r="16865" ht="15" customHeight="1"/>
    <row r="16866" ht="15" customHeight="1"/>
    <row r="16867" ht="15" customHeight="1"/>
    <row r="16868" ht="15" customHeight="1"/>
    <row r="16869" ht="15" customHeight="1"/>
    <row r="16870" ht="15" customHeight="1"/>
    <row r="16871" ht="15" customHeight="1"/>
    <row r="16872" ht="15" customHeight="1"/>
    <row r="16873" ht="15" customHeight="1"/>
    <row r="16874" ht="15" customHeight="1"/>
    <row r="16875" ht="15" customHeight="1"/>
    <row r="16876" ht="15" customHeight="1"/>
    <row r="16877" ht="15" customHeight="1"/>
    <row r="16878" ht="15" customHeight="1"/>
    <row r="16879" ht="15" customHeight="1"/>
    <row r="16880" ht="15" customHeight="1"/>
    <row r="16881" ht="15" customHeight="1"/>
    <row r="16882" ht="15" customHeight="1"/>
    <row r="16883" ht="15" customHeight="1"/>
    <row r="16884" ht="15" customHeight="1"/>
    <row r="16885" ht="15" customHeight="1"/>
    <row r="16886" ht="15" customHeight="1"/>
    <row r="16887" ht="15" customHeight="1"/>
    <row r="16888" ht="15" customHeight="1"/>
    <row r="16889" ht="15" customHeight="1"/>
    <row r="16890" ht="15" customHeight="1"/>
    <row r="16891" ht="15" customHeight="1"/>
    <row r="16892" ht="15" customHeight="1"/>
    <row r="16893" ht="15" customHeight="1"/>
    <row r="16894" ht="15" customHeight="1"/>
    <row r="16895" ht="15" customHeight="1"/>
    <row r="16896" ht="15" customHeight="1"/>
    <row r="16897" ht="15" customHeight="1"/>
    <row r="16898" ht="15" customHeight="1"/>
    <row r="16899" ht="15" customHeight="1"/>
    <row r="16900" ht="15" customHeight="1"/>
    <row r="16901" ht="15" customHeight="1"/>
    <row r="16902" ht="15" customHeight="1"/>
    <row r="16903" ht="15" customHeight="1"/>
    <row r="16904" ht="15" customHeight="1"/>
    <row r="16905" ht="15" customHeight="1"/>
    <row r="16906" ht="15" customHeight="1"/>
    <row r="16907" ht="15" customHeight="1"/>
    <row r="16908" ht="15" customHeight="1"/>
    <row r="16909" ht="15" customHeight="1"/>
    <row r="16910" ht="15" customHeight="1"/>
    <row r="16911" ht="15" customHeight="1"/>
    <row r="16912" ht="15" customHeight="1"/>
    <row r="16913" ht="15" customHeight="1"/>
    <row r="16914" ht="15" customHeight="1"/>
    <row r="16915" ht="15" customHeight="1"/>
    <row r="16916" ht="15" customHeight="1"/>
    <row r="16917" ht="15" customHeight="1"/>
    <row r="16918" ht="15" customHeight="1"/>
    <row r="16919" ht="15" customHeight="1"/>
    <row r="16920" ht="15" customHeight="1"/>
    <row r="16921" ht="15" customHeight="1"/>
    <row r="16922" ht="15" customHeight="1"/>
    <row r="16923" ht="15" customHeight="1"/>
    <row r="16924" ht="15" customHeight="1"/>
    <row r="16925" ht="15" customHeight="1"/>
    <row r="16926" ht="15" customHeight="1"/>
    <row r="16927" ht="15" customHeight="1"/>
    <row r="16928" ht="15" customHeight="1"/>
    <row r="16929" ht="15" customHeight="1"/>
    <row r="16930" ht="15" customHeight="1"/>
    <row r="16931" ht="15" customHeight="1"/>
    <row r="16932" ht="15" customHeight="1"/>
    <row r="16933" ht="15" customHeight="1"/>
    <row r="16934" ht="15" customHeight="1"/>
    <row r="16935" ht="15" customHeight="1"/>
    <row r="16936" ht="15" customHeight="1"/>
    <row r="16937" ht="15" customHeight="1"/>
    <row r="16938" ht="15" customHeight="1"/>
    <row r="16939" ht="15" customHeight="1"/>
    <row r="16940" ht="15" customHeight="1"/>
    <row r="16941" ht="15" customHeight="1"/>
    <row r="16942" ht="15" customHeight="1"/>
    <row r="16943" ht="15" customHeight="1"/>
    <row r="16944" ht="15" customHeight="1"/>
    <row r="16945" ht="15" customHeight="1"/>
    <row r="16946" ht="15" customHeight="1"/>
    <row r="16947" ht="15" customHeight="1"/>
    <row r="16948" ht="15" customHeight="1"/>
    <row r="16949" ht="15" customHeight="1"/>
    <row r="16950" ht="15" customHeight="1"/>
    <row r="16951" ht="15" customHeight="1"/>
    <row r="16952" ht="15" customHeight="1"/>
    <row r="16953" ht="15" customHeight="1"/>
    <row r="16954" ht="15" customHeight="1"/>
    <row r="16955" ht="15" customHeight="1"/>
    <row r="16956" ht="15" customHeight="1"/>
    <row r="16957" ht="15" customHeight="1"/>
    <row r="16958" ht="15" customHeight="1"/>
    <row r="16959" ht="15" customHeight="1"/>
    <row r="16960" ht="15" customHeight="1"/>
    <row r="16961" ht="15" customHeight="1"/>
    <row r="16962" ht="15" customHeight="1"/>
    <row r="16963" ht="15" customHeight="1"/>
    <row r="16964" ht="15" customHeight="1"/>
    <row r="16965" ht="15" customHeight="1"/>
    <row r="16966" ht="15" customHeight="1"/>
    <row r="16967" ht="15" customHeight="1"/>
    <row r="16968" ht="15" customHeight="1"/>
    <row r="16969" ht="15" customHeight="1"/>
    <row r="16970" ht="15" customHeight="1"/>
    <row r="16971" ht="15" customHeight="1"/>
    <row r="16972" ht="15" customHeight="1"/>
    <row r="16973" ht="15" customHeight="1"/>
    <row r="16974" ht="15" customHeight="1"/>
    <row r="16975" ht="15" customHeight="1"/>
    <row r="16976" ht="15" customHeight="1"/>
    <row r="16977" ht="15" customHeight="1"/>
    <row r="16978" ht="15" customHeight="1"/>
    <row r="16979" ht="15" customHeight="1"/>
    <row r="16980" ht="15" customHeight="1"/>
    <row r="16981" ht="15" customHeight="1"/>
    <row r="16982" ht="15" customHeight="1"/>
    <row r="16983" ht="15" customHeight="1"/>
    <row r="16984" ht="15" customHeight="1"/>
    <row r="16985" ht="15" customHeight="1"/>
    <row r="16986" ht="15" customHeight="1"/>
    <row r="16987" ht="15" customHeight="1"/>
    <row r="16988" ht="15" customHeight="1"/>
    <row r="16989" ht="15" customHeight="1"/>
    <row r="16990" ht="15" customHeight="1"/>
    <row r="16991" ht="15" customHeight="1"/>
    <row r="16992" ht="15" customHeight="1"/>
    <row r="16993" ht="15" customHeight="1"/>
    <row r="16994" ht="15" customHeight="1"/>
    <row r="16995" ht="15" customHeight="1"/>
    <row r="16996" ht="15" customHeight="1"/>
    <row r="16997" ht="15" customHeight="1"/>
    <row r="16998" ht="15" customHeight="1"/>
    <row r="16999" ht="15" customHeight="1"/>
    <row r="17000" ht="15" customHeight="1"/>
    <row r="17001" ht="15" customHeight="1"/>
    <row r="17002" ht="15" customHeight="1"/>
    <row r="17003" ht="15" customHeight="1"/>
    <row r="17004" ht="15" customHeight="1"/>
    <row r="17005" ht="15" customHeight="1"/>
    <row r="17006" ht="15" customHeight="1"/>
    <row r="17007" ht="15" customHeight="1"/>
    <row r="17008" ht="15" customHeight="1"/>
    <row r="17009" ht="15" customHeight="1"/>
    <row r="17010" ht="15" customHeight="1"/>
    <row r="17011" ht="15" customHeight="1"/>
    <row r="17012" ht="15" customHeight="1"/>
    <row r="17013" ht="15" customHeight="1"/>
    <row r="17014" ht="15" customHeight="1"/>
    <row r="17015" ht="15" customHeight="1"/>
    <row r="17016" ht="15" customHeight="1"/>
    <row r="17017" ht="15" customHeight="1"/>
    <row r="17018" ht="15" customHeight="1"/>
    <row r="17019" ht="15" customHeight="1"/>
    <row r="17020" ht="15" customHeight="1"/>
    <row r="17021" ht="15" customHeight="1"/>
    <row r="17022" ht="15" customHeight="1"/>
    <row r="17023" ht="15" customHeight="1"/>
    <row r="17024" ht="15" customHeight="1"/>
    <row r="17025" ht="15" customHeight="1"/>
    <row r="17026" ht="15" customHeight="1"/>
    <row r="17027" ht="15" customHeight="1"/>
    <row r="17028" ht="15" customHeight="1"/>
    <row r="17029" ht="15" customHeight="1"/>
    <row r="17030" ht="15" customHeight="1"/>
    <row r="17031" ht="15" customHeight="1"/>
    <row r="17032" ht="15" customHeight="1"/>
    <row r="17033" ht="15" customHeight="1"/>
    <row r="17034" ht="15" customHeight="1"/>
    <row r="17035" ht="15" customHeight="1"/>
    <row r="17036" ht="15" customHeight="1"/>
    <row r="17037" ht="15" customHeight="1"/>
    <row r="17038" ht="15" customHeight="1"/>
    <row r="17039" ht="15" customHeight="1"/>
    <row r="17040" ht="15" customHeight="1"/>
    <row r="17041" ht="15" customHeight="1"/>
    <row r="17042" ht="15" customHeight="1"/>
    <row r="17043" ht="15" customHeight="1"/>
    <row r="17044" ht="15" customHeight="1"/>
    <row r="17045" ht="15" customHeight="1"/>
    <row r="17046" ht="15" customHeight="1"/>
    <row r="17047" ht="15" customHeight="1"/>
    <row r="17048" ht="15" customHeight="1"/>
    <row r="17049" ht="15" customHeight="1"/>
    <row r="17050" ht="15" customHeight="1"/>
    <row r="17051" ht="15" customHeight="1"/>
    <row r="17052" ht="15" customHeight="1"/>
    <row r="17053" ht="15" customHeight="1"/>
    <row r="17054" ht="15" customHeight="1"/>
    <row r="17055" ht="15" customHeight="1"/>
    <row r="17056" ht="15" customHeight="1"/>
    <row r="17057" ht="15" customHeight="1"/>
    <row r="17058" ht="15" customHeight="1"/>
    <row r="17059" ht="15" customHeight="1"/>
    <row r="17060" ht="15" customHeight="1"/>
    <row r="17061" ht="15" customHeight="1"/>
    <row r="17062" ht="15" customHeight="1"/>
    <row r="17063" ht="15" customHeight="1"/>
    <row r="17064" ht="15" customHeight="1"/>
    <row r="17065" ht="15" customHeight="1"/>
    <row r="17066" ht="15" customHeight="1"/>
    <row r="17067" ht="15" customHeight="1"/>
    <row r="17068" ht="15" customHeight="1"/>
    <row r="17069" ht="15" customHeight="1"/>
    <row r="17070" ht="15" customHeight="1"/>
    <row r="17071" ht="15" customHeight="1"/>
    <row r="17072" ht="15" customHeight="1"/>
    <row r="17073" ht="15" customHeight="1"/>
    <row r="17074" ht="15" customHeight="1"/>
    <row r="17075" ht="15" customHeight="1"/>
    <row r="17076" ht="15" customHeight="1"/>
    <row r="17077" ht="15" customHeight="1"/>
    <row r="17078" ht="15" customHeight="1"/>
    <row r="17079" ht="15" customHeight="1"/>
    <row r="17080" ht="15" customHeight="1"/>
    <row r="17081" ht="15" customHeight="1"/>
    <row r="17082" ht="15" customHeight="1"/>
    <row r="17083" ht="15" customHeight="1"/>
    <row r="17084" ht="15" customHeight="1"/>
    <row r="17085" ht="15" customHeight="1"/>
    <row r="17086" ht="15" customHeight="1"/>
    <row r="17087" ht="15" customHeight="1"/>
    <row r="17088" ht="15" customHeight="1"/>
    <row r="17089" ht="15" customHeight="1"/>
    <row r="17090" ht="15" customHeight="1"/>
    <row r="17091" ht="15" customHeight="1"/>
    <row r="17092" ht="15" customHeight="1"/>
    <row r="17093" ht="15" customHeight="1"/>
    <row r="17094" ht="15" customHeight="1"/>
    <row r="17095" ht="15" customHeight="1"/>
    <row r="17096" ht="15" customHeight="1"/>
    <row r="17097" ht="15" customHeight="1"/>
    <row r="17098" ht="15" customHeight="1"/>
    <row r="17099" ht="15" customHeight="1"/>
    <row r="17100" ht="15" customHeight="1"/>
    <row r="17101" ht="15" customHeight="1"/>
    <row r="17102" ht="15" customHeight="1"/>
    <row r="17103" ht="15" customHeight="1"/>
    <row r="17104" ht="15" customHeight="1"/>
    <row r="17105" ht="15" customHeight="1"/>
    <row r="17106" ht="15" customHeight="1"/>
    <row r="17107" ht="15" customHeight="1"/>
    <row r="17108" ht="15" customHeight="1"/>
    <row r="17109" ht="15" customHeight="1"/>
    <row r="17110" ht="15" customHeight="1"/>
    <row r="17111" ht="15" customHeight="1"/>
    <row r="17112" ht="15" customHeight="1"/>
    <row r="17113" ht="15" customHeight="1"/>
    <row r="17114" ht="15" customHeight="1"/>
    <row r="17115" ht="15" customHeight="1"/>
    <row r="17116" ht="15" customHeight="1"/>
    <row r="17117" ht="15" customHeight="1"/>
    <row r="17118" ht="15" customHeight="1"/>
    <row r="17119" ht="15" customHeight="1"/>
    <row r="17120" ht="15" customHeight="1"/>
    <row r="17121" ht="15" customHeight="1"/>
    <row r="17122" ht="15" customHeight="1"/>
    <row r="17123" ht="15" customHeight="1"/>
    <row r="17124" ht="15" customHeight="1"/>
    <row r="17125" ht="15" customHeight="1"/>
    <row r="17126" ht="15" customHeight="1"/>
    <row r="17127" ht="15" customHeight="1"/>
    <row r="17128" ht="15" customHeight="1"/>
    <row r="17129" ht="15" customHeight="1"/>
    <row r="17130" ht="15" customHeight="1"/>
    <row r="17131" ht="15" customHeight="1"/>
    <row r="17132" ht="15" customHeight="1"/>
    <row r="17133" ht="15" customHeight="1"/>
    <row r="17134" ht="15" customHeight="1"/>
    <row r="17135" ht="15" customHeight="1"/>
    <row r="17136" ht="15" customHeight="1"/>
    <row r="17137" ht="15" customHeight="1"/>
    <row r="17138" ht="15" customHeight="1"/>
    <row r="17139" ht="15" customHeight="1"/>
    <row r="17140" ht="15" customHeight="1"/>
    <row r="17141" ht="15" customHeight="1"/>
    <row r="17142" ht="15" customHeight="1"/>
    <row r="17143" ht="15" customHeight="1"/>
    <row r="17144" ht="15" customHeight="1"/>
    <row r="17145" ht="15" customHeight="1"/>
    <row r="17146" ht="15" customHeight="1"/>
    <row r="17147" ht="15" customHeight="1"/>
    <row r="17148" ht="15" customHeight="1"/>
    <row r="17149" ht="15" customHeight="1"/>
    <row r="17150" ht="15" customHeight="1"/>
    <row r="17151" ht="15" customHeight="1"/>
    <row r="17152" ht="15" customHeight="1"/>
    <row r="17153" ht="15" customHeight="1"/>
    <row r="17154" ht="15" customHeight="1"/>
    <row r="17155" ht="15" customHeight="1"/>
    <row r="17156" ht="15" customHeight="1"/>
    <row r="17157" ht="15" customHeight="1"/>
    <row r="17158" ht="15" customHeight="1"/>
    <row r="17159" ht="15" customHeight="1"/>
    <row r="17160" ht="15" customHeight="1"/>
    <row r="17161" ht="15" customHeight="1"/>
    <row r="17162" ht="15" customHeight="1"/>
    <row r="17163" ht="15" customHeight="1"/>
    <row r="17164" ht="15" customHeight="1"/>
    <row r="17165" ht="15" customHeight="1"/>
    <row r="17166" ht="15" customHeight="1"/>
    <row r="17167" ht="15" customHeight="1"/>
    <row r="17168" ht="15" customHeight="1"/>
    <row r="17169" ht="15" customHeight="1"/>
    <row r="17170" ht="15" customHeight="1"/>
    <row r="17171" ht="15" customHeight="1"/>
    <row r="17172" ht="15" customHeight="1"/>
    <row r="17173" ht="15" customHeight="1"/>
    <row r="17174" ht="15" customHeight="1"/>
    <row r="17175" ht="15" customHeight="1"/>
    <row r="17176" ht="15" customHeight="1"/>
    <row r="17177" ht="15" customHeight="1"/>
    <row r="17178" ht="15" customHeight="1"/>
    <row r="17179" ht="15" customHeight="1"/>
    <row r="17180" ht="15" customHeight="1"/>
    <row r="17181" ht="15" customHeight="1"/>
    <row r="17182" ht="15" customHeight="1"/>
    <row r="17183" ht="15" customHeight="1"/>
    <row r="17184" ht="15" customHeight="1"/>
    <row r="17185" ht="15" customHeight="1"/>
    <row r="17186" ht="15" customHeight="1"/>
    <row r="17187" ht="15" customHeight="1"/>
    <row r="17188" ht="15" customHeight="1"/>
    <row r="17189" ht="15" customHeight="1"/>
    <row r="17190" ht="15" customHeight="1"/>
    <row r="17191" ht="15" customHeight="1"/>
    <row r="17192" ht="15" customHeight="1"/>
    <row r="17193" ht="15" customHeight="1"/>
    <row r="17194" ht="15" customHeight="1"/>
    <row r="17195" ht="15" customHeight="1"/>
    <row r="17196" ht="15" customHeight="1"/>
    <row r="17197" ht="15" customHeight="1"/>
    <row r="17198" ht="15" customHeight="1"/>
    <row r="17199" ht="15" customHeight="1"/>
    <row r="17200" ht="15" customHeight="1"/>
    <row r="17201" ht="15" customHeight="1"/>
    <row r="17202" ht="15" customHeight="1"/>
    <row r="17203" ht="15" customHeight="1"/>
    <row r="17204" ht="15" customHeight="1"/>
    <row r="17205" ht="15" customHeight="1"/>
    <row r="17206" ht="15" customHeight="1"/>
    <row r="17207" ht="15" customHeight="1"/>
    <row r="17208" ht="15" customHeight="1"/>
    <row r="17209" ht="15" customHeight="1"/>
    <row r="17210" ht="15" customHeight="1"/>
    <row r="17211" ht="15" customHeight="1"/>
    <row r="17212" ht="15" customHeight="1"/>
    <row r="17213" ht="15" customHeight="1"/>
    <row r="17214" ht="15" customHeight="1"/>
    <row r="17215" ht="15" customHeight="1"/>
    <row r="17216" ht="15" customHeight="1"/>
    <row r="17217" ht="15" customHeight="1"/>
    <row r="17218" ht="15" customHeight="1"/>
    <row r="17219" ht="15" customHeight="1"/>
    <row r="17220" ht="15" customHeight="1"/>
    <row r="17221" ht="15" customHeight="1"/>
    <row r="17222" ht="15" customHeight="1"/>
    <row r="17223" ht="15" customHeight="1"/>
    <row r="17224" ht="15" customHeight="1"/>
    <row r="17225" ht="15" customHeight="1"/>
    <row r="17226" ht="15" customHeight="1"/>
    <row r="17227" ht="15" customHeight="1"/>
    <row r="17228" ht="15" customHeight="1"/>
    <row r="17229" ht="15" customHeight="1"/>
    <row r="17230" ht="15" customHeight="1"/>
    <row r="17231" ht="15" customHeight="1"/>
    <row r="17232" ht="15" customHeight="1"/>
    <row r="17233" ht="15" customHeight="1"/>
    <row r="17234" ht="15" customHeight="1"/>
    <row r="17235" ht="15" customHeight="1"/>
    <row r="17236" ht="15" customHeight="1"/>
    <row r="17237" ht="15" customHeight="1"/>
    <row r="17238" ht="15" customHeight="1"/>
    <row r="17239" ht="15" customHeight="1"/>
    <row r="17240" ht="15" customHeight="1"/>
    <row r="17241" ht="15" customHeight="1"/>
    <row r="17242" ht="15" customHeight="1"/>
    <row r="17243" ht="15" customHeight="1"/>
    <row r="17244" ht="15" customHeight="1"/>
    <row r="17245" ht="15" customHeight="1"/>
    <row r="17246" ht="15" customHeight="1"/>
    <row r="17247" ht="15" customHeight="1"/>
    <row r="17248" ht="15" customHeight="1"/>
    <row r="17249" ht="15" customHeight="1"/>
    <row r="17250" ht="15" customHeight="1"/>
    <row r="17251" ht="15" customHeight="1"/>
    <row r="17252" ht="15" customHeight="1"/>
    <row r="17253" ht="15" customHeight="1"/>
    <row r="17254" ht="15" customHeight="1"/>
    <row r="17255" ht="15" customHeight="1"/>
    <row r="17256" ht="15" customHeight="1"/>
    <row r="17257" ht="15" customHeight="1"/>
    <row r="17258" ht="15" customHeight="1"/>
    <row r="17259" ht="15" customHeight="1"/>
    <row r="17260" ht="15" customHeight="1"/>
    <row r="17261" ht="15" customHeight="1"/>
    <row r="17262" ht="15" customHeight="1"/>
    <row r="17263" ht="15" customHeight="1"/>
    <row r="17264" ht="15" customHeight="1"/>
    <row r="17265" ht="15" customHeight="1"/>
    <row r="17266" ht="15" customHeight="1"/>
    <row r="17267" ht="15" customHeight="1"/>
    <row r="17268" ht="15" customHeight="1"/>
    <row r="17269" ht="15" customHeight="1"/>
    <row r="17270" ht="15" customHeight="1"/>
    <row r="17271" ht="15" customHeight="1"/>
    <row r="17272" ht="15" customHeight="1"/>
    <row r="17273" ht="15" customHeight="1"/>
    <row r="17274" ht="15" customHeight="1"/>
    <row r="17275" ht="15" customHeight="1"/>
    <row r="17276" ht="15" customHeight="1"/>
    <row r="17277" ht="15" customHeight="1"/>
    <row r="17278" ht="15" customHeight="1"/>
    <row r="17279" ht="15" customHeight="1"/>
    <row r="17280" ht="15" customHeight="1"/>
    <row r="17281" ht="15" customHeight="1"/>
    <row r="17282" ht="15" customHeight="1"/>
    <row r="17283" ht="15" customHeight="1"/>
    <row r="17284" ht="15" customHeight="1"/>
    <row r="17285" ht="15" customHeight="1"/>
    <row r="17286" ht="15" customHeight="1"/>
    <row r="17287" ht="15" customHeight="1"/>
    <row r="17288" ht="15" customHeight="1"/>
    <row r="17289" ht="15" customHeight="1"/>
    <row r="17290" ht="15" customHeight="1"/>
    <row r="17291" ht="15" customHeight="1"/>
    <row r="17292" ht="15" customHeight="1"/>
    <row r="17293" ht="15" customHeight="1"/>
    <row r="17294" ht="15" customHeight="1"/>
    <row r="17295" ht="15" customHeight="1"/>
    <row r="17296" ht="15" customHeight="1"/>
    <row r="17297" ht="15" customHeight="1"/>
    <row r="17298" ht="15" customHeight="1"/>
    <row r="17299" ht="15" customHeight="1"/>
    <row r="17300" ht="15" customHeight="1"/>
    <row r="17301" ht="15" customHeight="1"/>
    <row r="17302" ht="15" customHeight="1"/>
    <row r="17303" ht="15" customHeight="1"/>
    <row r="17304" ht="15" customHeight="1"/>
    <row r="17305" ht="15" customHeight="1"/>
    <row r="17306" ht="15" customHeight="1"/>
    <row r="17307" ht="15" customHeight="1"/>
    <row r="17308" ht="15" customHeight="1"/>
    <row r="17309" ht="15" customHeight="1"/>
    <row r="17310" ht="15" customHeight="1"/>
    <row r="17311" ht="15" customHeight="1"/>
    <row r="17312" ht="15" customHeight="1"/>
    <row r="17313" ht="15" customHeight="1"/>
    <row r="17314" ht="15" customHeight="1"/>
    <row r="17315" ht="15" customHeight="1"/>
    <row r="17316" ht="15" customHeight="1"/>
    <row r="17317" ht="15" customHeight="1"/>
    <row r="17318" ht="15" customHeight="1"/>
    <row r="17319" ht="15" customHeight="1"/>
    <row r="17320" ht="15" customHeight="1"/>
    <row r="17321" ht="15" customHeight="1"/>
    <row r="17322" ht="15" customHeight="1"/>
    <row r="17323" ht="15" customHeight="1"/>
    <row r="17324" ht="15" customHeight="1"/>
    <row r="17325" ht="15" customHeight="1"/>
    <row r="17326" ht="15" customHeight="1"/>
    <row r="17327" ht="15" customHeight="1"/>
    <row r="17328" ht="15" customHeight="1"/>
    <row r="17329" ht="15" customHeight="1"/>
    <row r="17330" ht="15" customHeight="1"/>
    <row r="17331" ht="15" customHeight="1"/>
    <row r="17332" ht="15" customHeight="1"/>
    <row r="17333" ht="15" customHeight="1"/>
    <row r="17334" ht="15" customHeight="1"/>
    <row r="17335" ht="15" customHeight="1"/>
    <row r="17336" ht="15" customHeight="1"/>
    <row r="17337" ht="15" customHeight="1"/>
    <row r="17338" ht="15" customHeight="1"/>
    <row r="17339" ht="15" customHeight="1"/>
    <row r="17340" ht="15" customHeight="1"/>
    <row r="17341" ht="15" customHeight="1"/>
    <row r="17342" ht="15" customHeight="1"/>
    <row r="17343" ht="15" customHeight="1"/>
    <row r="17344" ht="15" customHeight="1"/>
    <row r="17345" ht="15" customHeight="1"/>
    <row r="17346" ht="15" customHeight="1"/>
    <row r="17347" ht="15" customHeight="1"/>
    <row r="17348" ht="15" customHeight="1"/>
    <row r="17349" ht="15" customHeight="1"/>
    <row r="17350" ht="15" customHeight="1"/>
    <row r="17351" ht="15" customHeight="1"/>
    <row r="17352" ht="15" customHeight="1"/>
    <row r="17353" ht="15" customHeight="1"/>
    <row r="17354" ht="15" customHeight="1"/>
    <row r="17355" ht="15" customHeight="1"/>
    <row r="17356" ht="15" customHeight="1"/>
    <row r="17357" ht="15" customHeight="1"/>
    <row r="17358" ht="15" customHeight="1"/>
    <row r="17359" ht="15" customHeight="1"/>
    <row r="17360" ht="15" customHeight="1"/>
    <row r="17361" ht="15" customHeight="1"/>
    <row r="17362" ht="15" customHeight="1"/>
    <row r="17363" ht="15" customHeight="1"/>
    <row r="17364" ht="15" customHeight="1"/>
    <row r="17365" ht="15" customHeight="1"/>
    <row r="17366" ht="15" customHeight="1"/>
    <row r="17367" ht="15" customHeight="1"/>
    <row r="17368" ht="15" customHeight="1"/>
    <row r="17369" ht="15" customHeight="1"/>
    <row r="17370" ht="15" customHeight="1"/>
    <row r="17371" ht="15" customHeight="1"/>
    <row r="17372" ht="15" customHeight="1"/>
    <row r="17373" ht="15" customHeight="1"/>
    <row r="17374" ht="15" customHeight="1"/>
    <row r="17375" ht="15" customHeight="1"/>
    <row r="17376" ht="15" customHeight="1"/>
    <row r="17377" ht="15" customHeight="1"/>
    <row r="17378" ht="15" customHeight="1"/>
    <row r="17379" ht="15" customHeight="1"/>
    <row r="17380" ht="15" customHeight="1"/>
    <row r="17381" ht="15" customHeight="1"/>
    <row r="17382" ht="15" customHeight="1"/>
    <row r="17383" ht="15" customHeight="1"/>
    <row r="17384" ht="15" customHeight="1"/>
    <row r="17385" ht="15" customHeight="1"/>
    <row r="17386" ht="15" customHeight="1"/>
    <row r="17387" ht="15" customHeight="1"/>
    <row r="17388" ht="15" customHeight="1"/>
    <row r="17389" ht="15" customHeight="1"/>
    <row r="17390" ht="15" customHeight="1"/>
    <row r="17391" ht="15" customHeight="1"/>
    <row r="17392" ht="15" customHeight="1"/>
    <row r="17393" ht="15" customHeight="1"/>
    <row r="17394" ht="15" customHeight="1"/>
    <row r="17395" ht="15" customHeight="1"/>
    <row r="17396" ht="15" customHeight="1"/>
    <row r="17397" ht="15" customHeight="1"/>
    <row r="17398" ht="15" customHeight="1"/>
    <row r="17399" ht="15" customHeight="1"/>
    <row r="17400" ht="15" customHeight="1"/>
    <row r="17401" ht="15" customHeight="1"/>
    <row r="17402" ht="15" customHeight="1"/>
    <row r="17403" ht="15" customHeight="1"/>
    <row r="17404" ht="15" customHeight="1"/>
    <row r="17405" ht="15" customHeight="1"/>
    <row r="17406" ht="15" customHeight="1"/>
    <row r="17407" ht="15" customHeight="1"/>
    <row r="17408" ht="15" customHeight="1"/>
    <row r="17409" ht="15" customHeight="1"/>
    <row r="17410" ht="15" customHeight="1"/>
    <row r="17411" ht="15" customHeight="1"/>
    <row r="17412" ht="15" customHeight="1"/>
    <row r="17413" ht="15" customHeight="1"/>
    <row r="17414" ht="15" customHeight="1"/>
    <row r="17415" ht="15" customHeight="1"/>
    <row r="17416" ht="15" customHeight="1"/>
    <row r="17417" ht="15" customHeight="1"/>
    <row r="17418" ht="15" customHeight="1"/>
    <row r="17419" ht="15" customHeight="1"/>
    <row r="17420" ht="15" customHeight="1"/>
    <row r="17421" ht="15" customHeight="1"/>
    <row r="17422" ht="15" customHeight="1"/>
    <row r="17423" ht="15" customHeight="1"/>
    <row r="17424" ht="15" customHeight="1"/>
    <row r="17425" ht="15" customHeight="1"/>
    <row r="17426" ht="15" customHeight="1"/>
    <row r="17427" ht="15" customHeight="1"/>
    <row r="17428" ht="15" customHeight="1"/>
    <row r="17429" ht="15" customHeight="1"/>
    <row r="17430" ht="15" customHeight="1"/>
    <row r="17431" ht="15" customHeight="1"/>
    <row r="17432" ht="15" customHeight="1"/>
    <row r="17433" ht="15" customHeight="1"/>
    <row r="17434" ht="15" customHeight="1"/>
    <row r="17435" ht="15" customHeight="1"/>
    <row r="17436" ht="15" customHeight="1"/>
    <row r="17437" ht="15" customHeight="1"/>
    <row r="17438" ht="15" customHeight="1"/>
    <row r="17439" ht="15" customHeight="1"/>
    <row r="17440" ht="15" customHeight="1"/>
    <row r="17441" ht="15" customHeight="1"/>
    <row r="17442" ht="15" customHeight="1"/>
    <row r="17443" ht="15" customHeight="1"/>
    <row r="17444" ht="15" customHeight="1"/>
    <row r="17445" ht="15" customHeight="1"/>
    <row r="17446" ht="15" customHeight="1"/>
    <row r="17447" ht="15" customHeight="1"/>
    <row r="17448" ht="15" customHeight="1"/>
    <row r="17449" ht="15" customHeight="1"/>
    <row r="17450" ht="15" customHeight="1"/>
    <row r="17451" ht="15" customHeight="1"/>
    <row r="17452" ht="15" customHeight="1"/>
    <row r="17453" ht="15" customHeight="1"/>
    <row r="17454" ht="15" customHeight="1"/>
    <row r="17455" ht="15" customHeight="1"/>
    <row r="17456" ht="15" customHeight="1"/>
    <row r="17457" ht="15" customHeight="1"/>
    <row r="17458" ht="15" customHeight="1"/>
    <row r="17459" ht="15" customHeight="1"/>
    <row r="17460" ht="15" customHeight="1"/>
    <row r="17461" ht="15" customHeight="1"/>
    <row r="17462" ht="15" customHeight="1"/>
    <row r="17463" ht="15" customHeight="1"/>
    <row r="17464" ht="15" customHeight="1"/>
    <row r="17465" ht="15" customHeight="1"/>
    <row r="17466" ht="15" customHeight="1"/>
    <row r="17467" ht="15" customHeight="1"/>
    <row r="17468" ht="15" customHeight="1"/>
    <row r="17469" ht="15" customHeight="1"/>
    <row r="17470" ht="15" customHeight="1"/>
    <row r="17471" ht="15" customHeight="1"/>
    <row r="17472" ht="15" customHeight="1"/>
    <row r="17473" ht="15" customHeight="1"/>
    <row r="17474" ht="15" customHeight="1"/>
    <row r="17475" ht="15" customHeight="1"/>
    <row r="17476" ht="15" customHeight="1"/>
    <row r="17477" ht="15" customHeight="1"/>
    <row r="17478" ht="15" customHeight="1"/>
    <row r="17479" ht="15" customHeight="1"/>
    <row r="17480" ht="15" customHeight="1"/>
    <row r="17481" ht="15" customHeight="1"/>
    <row r="17482" ht="15" customHeight="1"/>
    <row r="17483" ht="15" customHeight="1"/>
    <row r="17484" ht="15" customHeight="1"/>
    <row r="17485" ht="15" customHeight="1"/>
    <row r="17486" ht="15" customHeight="1"/>
    <row r="17487" ht="15" customHeight="1"/>
    <row r="17488" ht="15" customHeight="1"/>
    <row r="17489" ht="15" customHeight="1"/>
    <row r="17490" ht="15" customHeight="1"/>
    <row r="17491" ht="15" customHeight="1"/>
    <row r="17492" ht="15" customHeight="1"/>
    <row r="17493" ht="15" customHeight="1"/>
    <row r="17494" ht="15" customHeight="1"/>
    <row r="17495" ht="15" customHeight="1"/>
    <row r="17496" ht="15" customHeight="1"/>
    <row r="17497" ht="15" customHeight="1"/>
    <row r="17498" ht="15" customHeight="1"/>
    <row r="17499" ht="15" customHeight="1"/>
    <row r="17500" ht="15" customHeight="1"/>
    <row r="17501" ht="15" customHeight="1"/>
    <row r="17502" ht="15" customHeight="1"/>
    <row r="17503" ht="15" customHeight="1"/>
    <row r="17504" ht="15" customHeight="1"/>
    <row r="17505" ht="15" customHeight="1"/>
    <row r="17506" ht="15" customHeight="1"/>
    <row r="17507" ht="15" customHeight="1"/>
    <row r="17508" ht="15" customHeight="1"/>
    <row r="17509" ht="15" customHeight="1"/>
    <row r="17510" ht="15" customHeight="1"/>
    <row r="17511" ht="15" customHeight="1"/>
    <row r="17512" ht="15" customHeight="1"/>
    <row r="17513" ht="15" customHeight="1"/>
    <row r="17514" ht="15" customHeight="1"/>
    <row r="17515" ht="15" customHeight="1"/>
    <row r="17516" ht="15" customHeight="1"/>
    <row r="17517" ht="15" customHeight="1"/>
    <row r="17518" ht="15" customHeight="1"/>
    <row r="17519" ht="15" customHeight="1"/>
    <row r="17520" ht="15" customHeight="1"/>
    <row r="17521" ht="15" customHeight="1"/>
    <row r="17522" ht="15" customHeight="1"/>
    <row r="17523" ht="15" customHeight="1"/>
    <row r="17524" ht="15" customHeight="1"/>
    <row r="17525" ht="15" customHeight="1"/>
    <row r="17526" ht="15" customHeight="1"/>
    <row r="17527" ht="15" customHeight="1"/>
    <row r="17528" ht="15" customHeight="1"/>
    <row r="17529" ht="15" customHeight="1"/>
    <row r="17530" ht="15" customHeight="1"/>
    <row r="17531" ht="15" customHeight="1"/>
    <row r="17532" ht="15" customHeight="1"/>
    <row r="17533" ht="15" customHeight="1"/>
    <row r="17534" ht="15" customHeight="1"/>
    <row r="17535" ht="15" customHeight="1"/>
    <row r="17536" ht="15" customHeight="1"/>
    <row r="17537" ht="15" customHeight="1"/>
    <row r="17538" ht="15" customHeight="1"/>
    <row r="17539" ht="15" customHeight="1"/>
    <row r="17540" ht="15" customHeight="1"/>
    <row r="17541" ht="15" customHeight="1"/>
    <row r="17542" ht="15" customHeight="1"/>
    <row r="17543" ht="15" customHeight="1"/>
    <row r="17544" ht="15" customHeight="1"/>
    <row r="17545" ht="15" customHeight="1"/>
    <row r="17546" ht="15" customHeight="1"/>
    <row r="17547" ht="15" customHeight="1"/>
    <row r="17548" ht="15" customHeight="1"/>
    <row r="17549" ht="15" customHeight="1"/>
    <row r="17550" ht="15" customHeight="1"/>
    <row r="17551" ht="15" customHeight="1"/>
    <row r="17552" ht="15" customHeight="1"/>
    <row r="17553" ht="15" customHeight="1"/>
    <row r="17554" ht="15" customHeight="1"/>
    <row r="17555" ht="15" customHeight="1"/>
    <row r="17556" ht="15" customHeight="1"/>
    <row r="17557" ht="15" customHeight="1"/>
    <row r="17558" ht="15" customHeight="1"/>
    <row r="17559" ht="15" customHeight="1"/>
    <row r="17560" ht="15" customHeight="1"/>
    <row r="17561" ht="15" customHeight="1"/>
    <row r="17562" ht="15" customHeight="1"/>
    <row r="17563" ht="15" customHeight="1"/>
    <row r="17564" ht="15" customHeight="1"/>
    <row r="17565" ht="15" customHeight="1"/>
    <row r="17566" ht="15" customHeight="1"/>
    <row r="17567" ht="15" customHeight="1"/>
    <row r="17568" ht="15" customHeight="1"/>
    <row r="17569" ht="15" customHeight="1"/>
    <row r="17570" ht="15" customHeight="1"/>
    <row r="17571" ht="15" customHeight="1"/>
    <row r="17572" ht="15" customHeight="1"/>
    <row r="17573" ht="15" customHeight="1"/>
    <row r="17574" ht="15" customHeight="1"/>
    <row r="17575" ht="15" customHeight="1"/>
    <row r="17576" ht="15" customHeight="1"/>
    <row r="17577" ht="15" customHeight="1"/>
    <row r="17578" ht="15" customHeight="1"/>
    <row r="17579" ht="15" customHeight="1"/>
    <row r="17580" ht="15" customHeight="1"/>
    <row r="17581" ht="15" customHeight="1"/>
    <row r="17582" ht="15" customHeight="1"/>
    <row r="17583" ht="15" customHeight="1"/>
    <row r="17584" ht="15" customHeight="1"/>
    <row r="17585" ht="15" customHeight="1"/>
    <row r="17586" ht="15" customHeight="1"/>
    <row r="17587" ht="15" customHeight="1"/>
    <row r="17588" ht="15" customHeight="1"/>
    <row r="17589" ht="15" customHeight="1"/>
    <row r="17590" ht="15" customHeight="1"/>
    <row r="17591" ht="15" customHeight="1"/>
    <row r="17592" ht="15" customHeight="1"/>
    <row r="17593" ht="15" customHeight="1"/>
    <row r="17594" ht="15" customHeight="1"/>
    <row r="17595" ht="15" customHeight="1"/>
    <row r="17596" ht="15" customHeight="1"/>
    <row r="17597" ht="15" customHeight="1"/>
    <row r="17598" ht="15" customHeight="1"/>
    <row r="17599" ht="15" customHeight="1"/>
    <row r="17600" ht="15" customHeight="1"/>
    <row r="17601" ht="15" customHeight="1"/>
    <row r="17602" ht="15" customHeight="1"/>
    <row r="17603" ht="15" customHeight="1"/>
    <row r="17604" ht="15" customHeight="1"/>
    <row r="17605" ht="15" customHeight="1"/>
    <row r="17606" ht="15" customHeight="1"/>
    <row r="17607" ht="15" customHeight="1"/>
    <row r="17608" ht="15" customHeight="1"/>
    <row r="17609" ht="15" customHeight="1"/>
    <row r="17610" ht="15" customHeight="1"/>
    <row r="17611" ht="15" customHeight="1"/>
    <row r="17612" ht="15" customHeight="1"/>
    <row r="17613" ht="15" customHeight="1"/>
    <row r="17614" ht="15" customHeight="1"/>
    <row r="17615" ht="15" customHeight="1"/>
    <row r="17616" ht="15" customHeight="1"/>
    <row r="17617" ht="15" customHeight="1"/>
    <row r="17618" ht="15" customHeight="1"/>
    <row r="17619" ht="15" customHeight="1"/>
    <row r="17620" ht="15" customHeight="1"/>
    <row r="17621" ht="15" customHeight="1"/>
    <row r="17622" ht="15" customHeight="1"/>
    <row r="17623" ht="15" customHeight="1"/>
    <row r="17624" ht="15" customHeight="1"/>
    <row r="17625" ht="15" customHeight="1"/>
    <row r="17626" ht="15" customHeight="1"/>
    <row r="17627" ht="15" customHeight="1"/>
    <row r="17628" ht="15" customHeight="1"/>
    <row r="17629" ht="15" customHeight="1"/>
    <row r="17630" ht="15" customHeight="1"/>
    <row r="17631" ht="15" customHeight="1"/>
    <row r="17632" ht="15" customHeight="1"/>
    <row r="17633" ht="15" customHeight="1"/>
    <row r="17634" ht="15" customHeight="1"/>
    <row r="17635" ht="15" customHeight="1"/>
    <row r="17636" ht="15" customHeight="1"/>
    <row r="17637" ht="15" customHeight="1"/>
    <row r="17638" ht="15" customHeight="1"/>
    <row r="17639" ht="15" customHeight="1"/>
    <row r="17640" ht="15" customHeight="1"/>
    <row r="17641" ht="15" customHeight="1"/>
    <row r="17642" ht="15" customHeight="1"/>
    <row r="17643" ht="15" customHeight="1"/>
    <row r="17644" ht="15" customHeight="1"/>
    <row r="17645" ht="15" customHeight="1"/>
    <row r="17646" ht="15" customHeight="1"/>
    <row r="17647" ht="15" customHeight="1"/>
    <row r="17648" ht="15" customHeight="1"/>
    <row r="17649" ht="15" customHeight="1"/>
    <row r="17650" ht="15" customHeight="1"/>
    <row r="17651" ht="15" customHeight="1"/>
    <row r="17652" ht="15" customHeight="1"/>
    <row r="17653" ht="15" customHeight="1"/>
    <row r="17654" ht="15" customHeight="1"/>
    <row r="17655" ht="15" customHeight="1"/>
    <row r="17656" ht="15" customHeight="1"/>
    <row r="17657" ht="15" customHeight="1"/>
    <row r="17658" ht="15" customHeight="1"/>
    <row r="17659" ht="15" customHeight="1"/>
    <row r="17660" ht="15" customHeight="1"/>
    <row r="17661" ht="15" customHeight="1"/>
    <row r="17662" ht="15" customHeight="1"/>
    <row r="17663" ht="15" customHeight="1"/>
    <row r="17664" ht="15" customHeight="1"/>
    <row r="17665" ht="15" customHeight="1"/>
    <row r="17666" ht="15" customHeight="1"/>
    <row r="17667" ht="15" customHeight="1"/>
    <row r="17668" ht="15" customHeight="1"/>
    <row r="17669" ht="15" customHeight="1"/>
    <row r="17670" ht="15" customHeight="1"/>
    <row r="17671" ht="15" customHeight="1"/>
    <row r="17672" ht="15" customHeight="1"/>
    <row r="17673" ht="15" customHeight="1"/>
    <row r="17674" ht="15" customHeight="1"/>
    <row r="17675" ht="15" customHeight="1"/>
    <row r="17676" ht="15" customHeight="1"/>
    <row r="17677" ht="15" customHeight="1"/>
    <row r="17678" ht="15" customHeight="1"/>
    <row r="17679" ht="15" customHeight="1"/>
    <row r="17680" ht="15" customHeight="1"/>
    <row r="17681" ht="15" customHeight="1"/>
    <row r="17682" ht="15" customHeight="1"/>
    <row r="17683" ht="15" customHeight="1"/>
    <row r="17684" ht="15" customHeight="1"/>
    <row r="17685" ht="15" customHeight="1"/>
    <row r="17686" ht="15" customHeight="1"/>
    <row r="17687" ht="15" customHeight="1"/>
    <row r="17688" ht="15" customHeight="1"/>
    <row r="17689" ht="15" customHeight="1"/>
    <row r="17690" ht="15" customHeight="1"/>
    <row r="17691" ht="15" customHeight="1"/>
    <row r="17692" ht="15" customHeight="1"/>
    <row r="17693" ht="15" customHeight="1"/>
    <row r="17694" ht="15" customHeight="1"/>
    <row r="17695" ht="15" customHeight="1"/>
    <row r="17696" ht="15" customHeight="1"/>
    <row r="17697" ht="15" customHeight="1"/>
    <row r="17698" ht="15" customHeight="1"/>
    <row r="17699" ht="15" customHeight="1"/>
    <row r="17700" ht="15" customHeight="1"/>
    <row r="17701" ht="15" customHeight="1"/>
    <row r="17702" ht="15" customHeight="1"/>
    <row r="17703" ht="15" customHeight="1"/>
    <row r="17704" ht="15" customHeight="1"/>
    <row r="17705" ht="15" customHeight="1"/>
    <row r="17706" ht="15" customHeight="1"/>
    <row r="17707" ht="15" customHeight="1"/>
    <row r="17708" ht="15" customHeight="1"/>
    <row r="17709" ht="15" customHeight="1"/>
    <row r="17710" ht="15" customHeight="1"/>
    <row r="17711" ht="15" customHeight="1"/>
    <row r="17712" ht="15" customHeight="1"/>
    <row r="17713" ht="15" customHeight="1"/>
    <row r="17714" ht="15" customHeight="1"/>
    <row r="17715" ht="15" customHeight="1"/>
    <row r="17716" ht="15" customHeight="1"/>
    <row r="17717" ht="15" customHeight="1"/>
    <row r="17718" ht="15" customHeight="1"/>
    <row r="17719" ht="15" customHeight="1"/>
    <row r="17720" ht="15" customHeight="1"/>
    <row r="17721" ht="15" customHeight="1"/>
    <row r="17722" ht="15" customHeight="1"/>
    <row r="17723" ht="15" customHeight="1"/>
    <row r="17724" ht="15" customHeight="1"/>
    <row r="17725" ht="15" customHeight="1"/>
    <row r="17726" ht="15" customHeight="1"/>
    <row r="17727" ht="15" customHeight="1"/>
    <row r="17728" ht="15" customHeight="1"/>
    <row r="17729" ht="15" customHeight="1"/>
    <row r="17730" ht="15" customHeight="1"/>
    <row r="17731" ht="15" customHeight="1"/>
    <row r="17732" ht="15" customHeight="1"/>
    <row r="17733" ht="15" customHeight="1"/>
    <row r="17734" ht="15" customHeight="1"/>
    <row r="17735" ht="15" customHeight="1"/>
    <row r="17736" ht="15" customHeight="1"/>
    <row r="17737" ht="15" customHeight="1"/>
    <row r="17738" ht="15" customHeight="1"/>
    <row r="17739" ht="15" customHeight="1"/>
    <row r="17740" ht="15" customHeight="1"/>
    <row r="17741" ht="15" customHeight="1"/>
    <row r="17742" ht="15" customHeight="1"/>
    <row r="17743" ht="15" customHeight="1"/>
    <row r="17744" ht="15" customHeight="1"/>
    <row r="17745" ht="15" customHeight="1"/>
    <row r="17746" ht="15" customHeight="1"/>
    <row r="17747" ht="15" customHeight="1"/>
    <row r="17748" ht="15" customHeight="1"/>
    <row r="17749" ht="15" customHeight="1"/>
    <row r="17750" ht="15" customHeight="1"/>
    <row r="17751" ht="15" customHeight="1"/>
    <row r="17752" ht="15" customHeight="1"/>
    <row r="17753" ht="15" customHeight="1"/>
    <row r="17754" ht="15" customHeight="1"/>
    <row r="17755" ht="15" customHeight="1"/>
    <row r="17756" ht="15" customHeight="1"/>
    <row r="17757" ht="15" customHeight="1"/>
    <row r="17758" ht="15" customHeight="1"/>
    <row r="17759" ht="15" customHeight="1"/>
    <row r="17760" ht="15" customHeight="1"/>
    <row r="17761" ht="15" customHeight="1"/>
    <row r="17762" ht="15" customHeight="1"/>
    <row r="17763" ht="15" customHeight="1"/>
    <row r="17764" ht="15" customHeight="1"/>
    <row r="17765" ht="15" customHeight="1"/>
    <row r="17766" ht="15" customHeight="1"/>
    <row r="17767" ht="15" customHeight="1"/>
    <row r="17768" ht="15" customHeight="1"/>
    <row r="17769" ht="15" customHeight="1"/>
    <row r="17770" ht="15" customHeight="1"/>
    <row r="17771" ht="15" customHeight="1"/>
    <row r="17772" ht="15" customHeight="1"/>
    <row r="17773" ht="15" customHeight="1"/>
    <row r="17774" ht="15" customHeight="1"/>
    <row r="17775" ht="15" customHeight="1"/>
    <row r="17776" ht="15" customHeight="1"/>
    <row r="17777" ht="15" customHeight="1"/>
    <row r="17778" ht="15" customHeight="1"/>
    <row r="17779" ht="15" customHeight="1"/>
    <row r="17780" ht="15" customHeight="1"/>
    <row r="17781" ht="15" customHeight="1"/>
    <row r="17782" ht="15" customHeight="1"/>
    <row r="17783" ht="15" customHeight="1"/>
    <row r="17784" ht="15" customHeight="1"/>
    <row r="17785" ht="15" customHeight="1"/>
    <row r="17786" ht="15" customHeight="1"/>
    <row r="17787" ht="15" customHeight="1"/>
    <row r="17788" ht="15" customHeight="1"/>
    <row r="17789" ht="15" customHeight="1"/>
    <row r="17790" ht="15" customHeight="1"/>
    <row r="17791" ht="15" customHeight="1"/>
    <row r="17792" ht="15" customHeight="1"/>
    <row r="17793" ht="15" customHeight="1"/>
    <row r="17794" ht="15" customHeight="1"/>
    <row r="17795" ht="15" customHeight="1"/>
    <row r="17796" ht="15" customHeight="1"/>
    <row r="17797" ht="15" customHeight="1"/>
    <row r="17798" ht="15" customHeight="1"/>
    <row r="17799" ht="15" customHeight="1"/>
    <row r="17800" ht="15" customHeight="1"/>
    <row r="17801" ht="15" customHeight="1"/>
    <row r="17802" ht="15" customHeight="1"/>
    <row r="17803" ht="15" customHeight="1"/>
    <row r="17804" ht="15" customHeight="1"/>
    <row r="17805" ht="15" customHeight="1"/>
    <row r="17806" ht="15" customHeight="1"/>
    <row r="17807" ht="15" customHeight="1"/>
    <row r="17808" ht="15" customHeight="1"/>
    <row r="17809" ht="15" customHeight="1"/>
    <row r="17810" ht="15" customHeight="1"/>
    <row r="17811" ht="15" customHeight="1"/>
    <row r="17812" ht="15" customHeight="1"/>
    <row r="17813" ht="15" customHeight="1"/>
    <row r="17814" ht="15" customHeight="1"/>
    <row r="17815" ht="15" customHeight="1"/>
    <row r="17816" ht="15" customHeight="1"/>
    <row r="17817" ht="15" customHeight="1"/>
    <row r="17818" ht="15" customHeight="1"/>
    <row r="17819" ht="15" customHeight="1"/>
    <row r="17820" ht="15" customHeight="1"/>
    <row r="17821" ht="15" customHeight="1"/>
    <row r="17822" ht="15" customHeight="1"/>
    <row r="17823" ht="15" customHeight="1"/>
    <row r="17824" ht="15" customHeight="1"/>
    <row r="17825" ht="15" customHeight="1"/>
    <row r="17826" ht="15" customHeight="1"/>
    <row r="17827" ht="15" customHeight="1"/>
    <row r="17828" ht="15" customHeight="1"/>
    <row r="17829" ht="15" customHeight="1"/>
    <row r="17830" ht="15" customHeight="1"/>
    <row r="17831" ht="15" customHeight="1"/>
    <row r="17832" ht="15" customHeight="1"/>
    <row r="17833" ht="15" customHeight="1"/>
    <row r="17834" ht="15" customHeight="1"/>
    <row r="17835" ht="15" customHeight="1"/>
    <row r="17836" ht="15" customHeight="1"/>
    <row r="17837" ht="15" customHeight="1"/>
    <row r="17838" ht="15" customHeight="1"/>
    <row r="17839" ht="15" customHeight="1"/>
    <row r="17840" ht="15" customHeight="1"/>
    <row r="17841" ht="15" customHeight="1"/>
    <row r="17842" ht="15" customHeight="1"/>
    <row r="17843" ht="15" customHeight="1"/>
    <row r="17844" ht="15" customHeight="1"/>
    <row r="17845" ht="15" customHeight="1"/>
    <row r="17846" ht="15" customHeight="1"/>
    <row r="17847" ht="15" customHeight="1"/>
    <row r="17848" ht="15" customHeight="1"/>
    <row r="17849" ht="15" customHeight="1"/>
    <row r="17850" ht="15" customHeight="1"/>
    <row r="17851" ht="15" customHeight="1"/>
    <row r="17852" ht="15" customHeight="1"/>
    <row r="17853" ht="15" customHeight="1"/>
    <row r="17854" ht="15" customHeight="1"/>
    <row r="17855" ht="15" customHeight="1"/>
    <row r="17856" ht="15" customHeight="1"/>
    <row r="17857" ht="15" customHeight="1"/>
    <row r="17858" ht="15" customHeight="1"/>
    <row r="17859" ht="15" customHeight="1"/>
    <row r="17860" ht="15" customHeight="1"/>
    <row r="17861" ht="15" customHeight="1"/>
    <row r="17862" ht="15" customHeight="1"/>
    <row r="17863" ht="15" customHeight="1"/>
    <row r="17864" ht="15" customHeight="1"/>
    <row r="17865" ht="15" customHeight="1"/>
    <row r="17866" ht="15" customHeight="1"/>
    <row r="17867" ht="15" customHeight="1"/>
    <row r="17868" ht="15" customHeight="1"/>
    <row r="17869" ht="15" customHeight="1"/>
    <row r="17870" ht="15" customHeight="1"/>
    <row r="17871" ht="15" customHeight="1"/>
    <row r="17872" ht="15" customHeight="1"/>
    <row r="17873" ht="15" customHeight="1"/>
    <row r="17874" ht="15" customHeight="1"/>
    <row r="17875" ht="15" customHeight="1"/>
    <row r="17876" ht="15" customHeight="1"/>
    <row r="17877" ht="15" customHeight="1"/>
    <row r="17878" ht="15" customHeight="1"/>
    <row r="17879" ht="15" customHeight="1"/>
    <row r="17880" ht="15" customHeight="1"/>
    <row r="17881" ht="15" customHeight="1"/>
    <row r="17882" ht="15" customHeight="1"/>
    <row r="17883" ht="15" customHeight="1"/>
    <row r="17884" ht="15" customHeight="1"/>
    <row r="17885" ht="15" customHeight="1"/>
    <row r="17886" ht="15" customHeight="1"/>
    <row r="17887" ht="15" customHeight="1"/>
    <row r="17888" ht="15" customHeight="1"/>
    <row r="17889" ht="15" customHeight="1"/>
    <row r="17890" ht="15" customHeight="1"/>
    <row r="17891" ht="15" customHeight="1"/>
    <row r="17892" ht="15" customHeight="1"/>
    <row r="17893" ht="15" customHeight="1"/>
    <row r="17894" ht="15" customHeight="1"/>
    <row r="17895" ht="15" customHeight="1"/>
    <row r="17896" ht="15" customHeight="1"/>
    <row r="17897" ht="15" customHeight="1"/>
    <row r="17898" ht="15" customHeight="1"/>
    <row r="17899" ht="15" customHeight="1"/>
    <row r="17900" ht="15" customHeight="1"/>
    <row r="17901" ht="15" customHeight="1"/>
    <row r="17902" ht="15" customHeight="1"/>
    <row r="17903" ht="15" customHeight="1"/>
    <row r="17904" ht="15" customHeight="1"/>
    <row r="17905" ht="15" customHeight="1"/>
    <row r="17906" ht="15" customHeight="1"/>
    <row r="17907" ht="15" customHeight="1"/>
    <row r="17908" ht="15" customHeight="1"/>
    <row r="17909" ht="15" customHeight="1"/>
    <row r="17910" ht="15" customHeight="1"/>
    <row r="17911" ht="15" customHeight="1"/>
    <row r="17912" ht="15" customHeight="1"/>
    <row r="17913" ht="15" customHeight="1"/>
    <row r="17914" ht="15" customHeight="1"/>
    <row r="17915" ht="15" customHeight="1"/>
    <row r="17916" ht="15" customHeight="1"/>
    <row r="17917" ht="15" customHeight="1"/>
    <row r="17918" ht="15" customHeight="1"/>
    <row r="17919" ht="15" customHeight="1"/>
    <row r="17920" ht="15" customHeight="1"/>
    <row r="17921" ht="15" customHeight="1"/>
    <row r="17922" ht="15" customHeight="1"/>
    <row r="17923" ht="15" customHeight="1"/>
    <row r="17924" ht="15" customHeight="1"/>
    <row r="17925" ht="15" customHeight="1"/>
    <row r="17926" ht="15" customHeight="1"/>
    <row r="17927" ht="15" customHeight="1"/>
    <row r="17928" ht="15" customHeight="1"/>
    <row r="17929" ht="15" customHeight="1"/>
    <row r="17930" ht="15" customHeight="1"/>
    <row r="17931" ht="15" customHeight="1"/>
    <row r="17932" ht="15" customHeight="1"/>
    <row r="17933" ht="15" customHeight="1"/>
    <row r="17934" ht="15" customHeight="1"/>
    <row r="17935" ht="15" customHeight="1"/>
    <row r="17936" ht="15" customHeight="1"/>
    <row r="17937" ht="15" customHeight="1"/>
    <row r="17938" ht="15" customHeight="1"/>
    <row r="17939" ht="15" customHeight="1"/>
    <row r="17940" ht="15" customHeight="1"/>
    <row r="17941" ht="15" customHeight="1"/>
    <row r="17942" ht="15" customHeight="1"/>
    <row r="17943" ht="15" customHeight="1"/>
    <row r="17944" ht="15" customHeight="1"/>
    <row r="17945" ht="15" customHeight="1"/>
    <row r="17946" ht="15" customHeight="1"/>
    <row r="17947" ht="15" customHeight="1"/>
    <row r="17948" ht="15" customHeight="1"/>
    <row r="17949" ht="15" customHeight="1"/>
    <row r="17950" ht="15" customHeight="1"/>
    <row r="17951" ht="15" customHeight="1"/>
    <row r="17952" ht="15" customHeight="1"/>
    <row r="17953" ht="15" customHeight="1"/>
    <row r="17954" ht="15" customHeight="1"/>
    <row r="17955" ht="15" customHeight="1"/>
    <row r="17956" ht="15" customHeight="1"/>
    <row r="17957" ht="15" customHeight="1"/>
    <row r="17958" ht="15" customHeight="1"/>
    <row r="17959" ht="15" customHeight="1"/>
    <row r="17960" ht="15" customHeight="1"/>
    <row r="17961" ht="15" customHeight="1"/>
    <row r="17962" ht="15" customHeight="1"/>
    <row r="17963" ht="15" customHeight="1"/>
    <row r="17964" ht="15" customHeight="1"/>
    <row r="17965" ht="15" customHeight="1"/>
    <row r="17966" ht="15" customHeight="1"/>
    <row r="17967" ht="15" customHeight="1"/>
    <row r="17968" ht="15" customHeight="1"/>
    <row r="17969" ht="15" customHeight="1"/>
    <row r="17970" ht="15" customHeight="1"/>
    <row r="17971" ht="15" customHeight="1"/>
    <row r="17972" ht="15" customHeight="1"/>
    <row r="17973" ht="15" customHeight="1"/>
    <row r="17974" ht="15" customHeight="1"/>
    <row r="17975" ht="15" customHeight="1"/>
    <row r="17976" ht="15" customHeight="1"/>
    <row r="17977" ht="15" customHeight="1"/>
    <row r="17978" ht="15" customHeight="1"/>
    <row r="17979" ht="15" customHeight="1"/>
    <row r="17980" ht="15" customHeight="1"/>
    <row r="17981" ht="15" customHeight="1"/>
    <row r="17982" ht="15" customHeight="1"/>
    <row r="17983" ht="15" customHeight="1"/>
    <row r="17984" ht="15" customHeight="1"/>
    <row r="17985" ht="15" customHeight="1"/>
    <row r="17986" ht="15" customHeight="1"/>
    <row r="17987" ht="15" customHeight="1"/>
    <row r="17988" ht="15" customHeight="1"/>
    <row r="17989" ht="15" customHeight="1"/>
    <row r="17990" ht="15" customHeight="1"/>
    <row r="17991" ht="15" customHeight="1"/>
    <row r="17992" ht="15" customHeight="1"/>
    <row r="17993" ht="15" customHeight="1"/>
    <row r="17994" ht="15" customHeight="1"/>
    <row r="17995" ht="15" customHeight="1"/>
    <row r="17996" ht="15" customHeight="1"/>
    <row r="17997" ht="15" customHeight="1"/>
    <row r="17998" ht="15" customHeight="1"/>
    <row r="17999" ht="15" customHeight="1"/>
    <row r="18000" ht="15" customHeight="1"/>
    <row r="18001" ht="15" customHeight="1"/>
    <row r="18002" ht="15" customHeight="1"/>
    <row r="18003" ht="15" customHeight="1"/>
    <row r="18004" ht="15" customHeight="1"/>
    <row r="18005" ht="15" customHeight="1"/>
    <row r="18006" ht="15" customHeight="1"/>
    <row r="18007" ht="15" customHeight="1"/>
    <row r="18008" ht="15" customHeight="1"/>
    <row r="18009" ht="15" customHeight="1"/>
    <row r="18010" ht="15" customHeight="1"/>
    <row r="18011" ht="15" customHeight="1"/>
    <row r="18012" ht="15" customHeight="1"/>
    <row r="18013" ht="15" customHeight="1"/>
    <row r="18014" ht="15" customHeight="1"/>
    <row r="18015" ht="15" customHeight="1"/>
    <row r="18016" ht="15" customHeight="1"/>
    <row r="18017" ht="15" customHeight="1"/>
    <row r="18018" ht="15" customHeight="1"/>
    <row r="18019" ht="15" customHeight="1"/>
    <row r="18020" ht="15" customHeight="1"/>
    <row r="18021" ht="15" customHeight="1"/>
    <row r="18022" ht="15" customHeight="1"/>
    <row r="18023" ht="15" customHeight="1"/>
    <row r="18024" ht="15" customHeight="1"/>
    <row r="18025" ht="15" customHeight="1"/>
    <row r="18026" ht="15" customHeight="1"/>
    <row r="18027" ht="15" customHeight="1"/>
    <row r="18028" ht="15" customHeight="1"/>
    <row r="18029" ht="15" customHeight="1"/>
    <row r="18030" ht="15" customHeight="1"/>
    <row r="18031" ht="15" customHeight="1"/>
    <row r="18032" ht="15" customHeight="1"/>
    <row r="18033" ht="15" customHeight="1"/>
    <row r="18034" ht="15" customHeight="1"/>
    <row r="18035" ht="15" customHeight="1"/>
    <row r="18036" ht="15" customHeight="1"/>
    <row r="18037" ht="15" customHeight="1"/>
    <row r="18038" ht="15" customHeight="1"/>
    <row r="18039" ht="15" customHeight="1"/>
    <row r="18040" ht="15" customHeight="1"/>
    <row r="18041" ht="15" customHeight="1"/>
    <row r="18042" ht="15" customHeight="1"/>
    <row r="18043" ht="15" customHeight="1"/>
    <row r="18044" ht="15" customHeight="1"/>
    <row r="18045" ht="15" customHeight="1"/>
    <row r="18046" ht="15" customHeight="1"/>
    <row r="18047" ht="15" customHeight="1"/>
    <row r="18048" ht="15" customHeight="1"/>
    <row r="18049" ht="15" customHeight="1"/>
    <row r="18050" ht="15" customHeight="1"/>
    <row r="18051" ht="15" customHeight="1"/>
    <row r="18052" ht="15" customHeight="1"/>
    <row r="18053" ht="15" customHeight="1"/>
    <row r="18054" ht="15" customHeight="1"/>
    <row r="18055" ht="15" customHeight="1"/>
    <row r="18056" ht="15" customHeight="1"/>
    <row r="18057" ht="15" customHeight="1"/>
    <row r="18058" ht="15" customHeight="1"/>
    <row r="18059" ht="15" customHeight="1"/>
    <row r="18060" ht="15" customHeight="1"/>
    <row r="18061" ht="15" customHeight="1"/>
    <row r="18062" ht="15" customHeight="1"/>
    <row r="18063" ht="15" customHeight="1"/>
    <row r="18064" ht="15" customHeight="1"/>
    <row r="18065" ht="15" customHeight="1"/>
    <row r="18066" ht="15" customHeight="1"/>
    <row r="18067" ht="15" customHeight="1"/>
    <row r="18068" ht="15" customHeight="1"/>
    <row r="18069" ht="15" customHeight="1"/>
    <row r="18070" ht="15" customHeight="1"/>
    <row r="18071" ht="15" customHeight="1"/>
    <row r="18072" ht="15" customHeight="1"/>
    <row r="18073" ht="15" customHeight="1"/>
    <row r="18074" ht="15" customHeight="1"/>
    <row r="18075" ht="15" customHeight="1"/>
    <row r="18076" ht="15" customHeight="1"/>
    <row r="18077" ht="15" customHeight="1"/>
    <row r="18078" ht="15" customHeight="1"/>
    <row r="18079" ht="15" customHeight="1"/>
    <row r="18080" ht="15" customHeight="1"/>
    <row r="18081" ht="15" customHeight="1"/>
    <row r="18082" ht="15" customHeight="1"/>
    <row r="18083" ht="15" customHeight="1"/>
    <row r="18084" ht="15" customHeight="1"/>
    <row r="18085" ht="15" customHeight="1"/>
    <row r="18086" ht="15" customHeight="1"/>
    <row r="18087" ht="15" customHeight="1"/>
    <row r="18088" ht="15" customHeight="1"/>
    <row r="18089" ht="15" customHeight="1"/>
    <row r="18090" ht="15" customHeight="1"/>
    <row r="18091" ht="15" customHeight="1"/>
    <row r="18092" ht="15" customHeight="1"/>
    <row r="18093" ht="15" customHeight="1"/>
    <row r="18094" ht="15" customHeight="1"/>
    <row r="18095" ht="15" customHeight="1"/>
    <row r="18096" ht="15" customHeight="1"/>
    <row r="18097" ht="15" customHeight="1"/>
    <row r="18098" ht="15" customHeight="1"/>
    <row r="18099" ht="15" customHeight="1"/>
    <row r="18100" ht="15" customHeight="1"/>
    <row r="18101" ht="15" customHeight="1"/>
    <row r="18102" ht="15" customHeight="1"/>
    <row r="18103" ht="15" customHeight="1"/>
    <row r="18104" ht="15" customHeight="1"/>
    <row r="18105" ht="15" customHeight="1"/>
    <row r="18106" ht="15" customHeight="1"/>
    <row r="18107" ht="15" customHeight="1"/>
    <row r="18108" ht="15" customHeight="1"/>
    <row r="18109" ht="15" customHeight="1"/>
    <row r="18110" ht="15" customHeight="1"/>
    <row r="18111" ht="15" customHeight="1"/>
    <row r="18112" ht="15" customHeight="1"/>
    <row r="18113" ht="15" customHeight="1"/>
    <row r="18114" ht="15" customHeight="1"/>
    <row r="18115" ht="15" customHeight="1"/>
    <row r="18116" ht="15" customHeight="1"/>
    <row r="18117" ht="15" customHeight="1"/>
    <row r="18118" ht="15" customHeight="1"/>
    <row r="18119" ht="15" customHeight="1"/>
    <row r="18120" ht="15" customHeight="1"/>
    <row r="18121" ht="15" customHeight="1"/>
    <row r="18122" ht="15" customHeight="1"/>
    <row r="18123" ht="15" customHeight="1"/>
    <row r="18124" ht="15" customHeight="1"/>
    <row r="18125" ht="15" customHeight="1"/>
    <row r="18126" ht="15" customHeight="1"/>
    <row r="18127" ht="15" customHeight="1"/>
    <row r="18128" ht="15" customHeight="1"/>
    <row r="18129" ht="15" customHeight="1"/>
    <row r="18130" ht="15" customHeight="1"/>
    <row r="18131" ht="15" customHeight="1"/>
    <row r="18132" ht="15" customHeight="1"/>
    <row r="18133" ht="15" customHeight="1"/>
    <row r="18134" ht="15" customHeight="1"/>
    <row r="18135" ht="15" customHeight="1"/>
    <row r="18136" ht="15" customHeight="1"/>
    <row r="18137" ht="15" customHeight="1"/>
    <row r="18138" ht="15" customHeight="1"/>
    <row r="18139" ht="15" customHeight="1"/>
    <row r="18140" ht="15" customHeight="1"/>
    <row r="18141" ht="15" customHeight="1"/>
    <row r="18142" ht="15" customHeight="1"/>
    <row r="18143" ht="15" customHeight="1"/>
    <row r="18144" ht="15" customHeight="1"/>
    <row r="18145" ht="15" customHeight="1"/>
    <row r="18146" ht="15" customHeight="1"/>
    <row r="18147" ht="15" customHeight="1"/>
    <row r="18148" ht="15" customHeight="1"/>
    <row r="18149" ht="15" customHeight="1"/>
    <row r="18150" ht="15" customHeight="1"/>
    <row r="18151" ht="15" customHeight="1"/>
    <row r="18152" ht="15" customHeight="1"/>
    <row r="18153" ht="15" customHeight="1"/>
    <row r="18154" ht="15" customHeight="1"/>
    <row r="18155" ht="15" customHeight="1"/>
    <row r="18156" ht="15" customHeight="1"/>
    <row r="18157" ht="15" customHeight="1"/>
    <row r="18158" ht="15" customHeight="1"/>
    <row r="18159" ht="15" customHeight="1"/>
    <row r="18160" ht="15" customHeight="1"/>
    <row r="18161" ht="15" customHeight="1"/>
    <row r="18162" ht="15" customHeight="1"/>
    <row r="18163" ht="15" customHeight="1"/>
    <row r="18164" ht="15" customHeight="1"/>
    <row r="18165" ht="15" customHeight="1"/>
    <row r="18166" ht="15" customHeight="1"/>
    <row r="18167" ht="15" customHeight="1"/>
    <row r="18168" ht="15" customHeight="1"/>
    <row r="18169" ht="15" customHeight="1"/>
    <row r="18170" ht="15" customHeight="1"/>
    <row r="18171" ht="15" customHeight="1"/>
    <row r="18172" ht="15" customHeight="1"/>
    <row r="18173" ht="15" customHeight="1"/>
    <row r="18174" ht="15" customHeight="1"/>
    <row r="18175" ht="15" customHeight="1"/>
    <row r="18176" ht="15" customHeight="1"/>
    <row r="18177" ht="15" customHeight="1"/>
    <row r="18178" ht="15" customHeight="1"/>
    <row r="18179" ht="15" customHeight="1"/>
    <row r="18180" ht="15" customHeight="1"/>
    <row r="18181" ht="15" customHeight="1"/>
    <row r="18182" ht="15" customHeight="1"/>
    <row r="18183" ht="15" customHeight="1"/>
    <row r="18184" ht="15" customHeight="1"/>
    <row r="18185" ht="15" customHeight="1"/>
    <row r="18186" ht="15" customHeight="1"/>
    <row r="18187" ht="15" customHeight="1"/>
    <row r="18188" ht="15" customHeight="1"/>
    <row r="18189" ht="15" customHeight="1"/>
    <row r="18190" ht="15" customHeight="1"/>
    <row r="18191" ht="15" customHeight="1"/>
    <row r="18192" ht="15" customHeight="1"/>
    <row r="18193" ht="15" customHeight="1"/>
    <row r="18194" ht="15" customHeight="1"/>
    <row r="18195" ht="15" customHeight="1"/>
    <row r="18196" ht="15" customHeight="1"/>
    <row r="18197" ht="15" customHeight="1"/>
    <row r="18198" ht="15" customHeight="1"/>
    <row r="18199" ht="15" customHeight="1"/>
    <row r="18200" ht="15" customHeight="1"/>
    <row r="18201" ht="15" customHeight="1"/>
    <row r="18202" ht="15" customHeight="1"/>
    <row r="18203" ht="15" customHeight="1"/>
    <row r="18204" ht="15" customHeight="1"/>
    <row r="18205" ht="15" customHeight="1"/>
    <row r="18206" ht="15" customHeight="1"/>
    <row r="18207" ht="15" customHeight="1"/>
    <row r="18208" ht="15" customHeight="1"/>
    <row r="18209" ht="15" customHeight="1"/>
    <row r="18210" ht="15" customHeight="1"/>
    <row r="18211" ht="15" customHeight="1"/>
    <row r="18212" ht="15" customHeight="1"/>
    <row r="18213" ht="15" customHeight="1"/>
    <row r="18214" ht="15" customHeight="1"/>
    <row r="18215" ht="15" customHeight="1"/>
    <row r="18216" ht="15" customHeight="1"/>
    <row r="18217" ht="15" customHeight="1"/>
    <row r="18218" ht="15" customHeight="1"/>
    <row r="18219" ht="15" customHeight="1"/>
    <row r="18220" ht="15" customHeight="1"/>
    <row r="18221" ht="15" customHeight="1"/>
    <row r="18222" ht="15" customHeight="1"/>
    <row r="18223" ht="15" customHeight="1"/>
    <row r="18224" ht="15" customHeight="1"/>
    <row r="18225" ht="15" customHeight="1"/>
    <row r="18226" ht="15" customHeight="1"/>
    <row r="18227" ht="15" customHeight="1"/>
    <row r="18228" ht="15" customHeight="1"/>
    <row r="18229" ht="15" customHeight="1"/>
    <row r="18230" ht="15" customHeight="1"/>
    <row r="18231" ht="15" customHeight="1"/>
    <row r="18232" ht="15" customHeight="1"/>
    <row r="18233" ht="15" customHeight="1"/>
    <row r="18234" ht="15" customHeight="1"/>
    <row r="18235" ht="15" customHeight="1"/>
    <row r="18236" ht="15" customHeight="1"/>
    <row r="18237" ht="15" customHeight="1"/>
    <row r="18238" ht="15" customHeight="1"/>
    <row r="18239" ht="15" customHeight="1"/>
    <row r="18240" ht="15" customHeight="1"/>
    <row r="18241" ht="15" customHeight="1"/>
    <row r="18242" ht="15" customHeight="1"/>
    <row r="18243" ht="15" customHeight="1"/>
    <row r="18244" ht="15" customHeight="1"/>
    <row r="18245" ht="15" customHeight="1"/>
    <row r="18246" ht="15" customHeight="1"/>
    <row r="18247" ht="15" customHeight="1"/>
    <row r="18248" ht="15" customHeight="1"/>
    <row r="18249" ht="15" customHeight="1"/>
    <row r="18250" ht="15" customHeight="1"/>
    <row r="18251" ht="15" customHeight="1"/>
    <row r="18252" ht="15" customHeight="1"/>
    <row r="18253" ht="15" customHeight="1"/>
    <row r="18254" ht="15" customHeight="1"/>
    <row r="18255" ht="15" customHeight="1"/>
    <row r="18256" ht="15" customHeight="1"/>
    <row r="18257" ht="15" customHeight="1"/>
    <row r="18258" ht="15" customHeight="1"/>
    <row r="18259" ht="15" customHeight="1"/>
    <row r="18260" ht="15" customHeight="1"/>
    <row r="18261" ht="15" customHeight="1"/>
    <row r="18262" ht="15" customHeight="1"/>
    <row r="18263" ht="15" customHeight="1"/>
    <row r="18264" ht="15" customHeight="1"/>
    <row r="18265" ht="15" customHeight="1"/>
    <row r="18266" ht="15" customHeight="1"/>
    <row r="18267" ht="15" customHeight="1"/>
    <row r="18268" ht="15" customHeight="1"/>
    <row r="18269" ht="15" customHeight="1"/>
    <row r="18270" ht="15" customHeight="1"/>
    <row r="18271" ht="15" customHeight="1"/>
    <row r="18272" ht="15" customHeight="1"/>
    <row r="18273" ht="15" customHeight="1"/>
    <row r="18274" ht="15" customHeight="1"/>
    <row r="18275" ht="15" customHeight="1"/>
    <row r="18276" ht="15" customHeight="1"/>
    <row r="18277" ht="15" customHeight="1"/>
    <row r="18278" ht="15" customHeight="1"/>
    <row r="18279" ht="15" customHeight="1"/>
    <row r="18280" ht="15" customHeight="1"/>
    <row r="18281" ht="15" customHeight="1"/>
    <row r="18282" ht="15" customHeight="1"/>
    <row r="18283" ht="15" customHeight="1"/>
    <row r="18284" ht="15" customHeight="1"/>
    <row r="18285" ht="15" customHeight="1"/>
    <row r="18286" ht="15" customHeight="1"/>
    <row r="18287" ht="15" customHeight="1"/>
    <row r="18288" ht="15" customHeight="1"/>
    <row r="18289" ht="15" customHeight="1"/>
    <row r="18290" ht="15" customHeight="1"/>
    <row r="18291" ht="15" customHeight="1"/>
    <row r="18292" ht="15" customHeight="1"/>
    <row r="18293" ht="15" customHeight="1"/>
    <row r="18294" ht="15" customHeight="1"/>
    <row r="18295" ht="15" customHeight="1"/>
    <row r="18296" ht="15" customHeight="1"/>
    <row r="18297" ht="15" customHeight="1"/>
    <row r="18298" ht="15" customHeight="1"/>
    <row r="18299" ht="15" customHeight="1"/>
    <row r="18300" ht="15" customHeight="1"/>
    <row r="18301" ht="15" customHeight="1"/>
    <row r="18302" ht="15" customHeight="1"/>
    <row r="18303" ht="15" customHeight="1"/>
    <row r="18304" ht="15" customHeight="1"/>
    <row r="18305" ht="15" customHeight="1"/>
    <row r="18306" ht="15" customHeight="1"/>
    <row r="18307" ht="15" customHeight="1"/>
    <row r="18308" ht="15" customHeight="1"/>
    <row r="18309" ht="15" customHeight="1"/>
    <row r="18310" ht="15" customHeight="1"/>
    <row r="18311" ht="15" customHeight="1"/>
    <row r="18312" ht="15" customHeight="1"/>
    <row r="18313" ht="15" customHeight="1"/>
    <row r="18314" ht="15" customHeight="1"/>
    <row r="18315" ht="15" customHeight="1"/>
    <row r="18316" ht="15" customHeight="1"/>
    <row r="18317" ht="15" customHeight="1"/>
    <row r="18318" ht="15" customHeight="1"/>
    <row r="18319" ht="15" customHeight="1"/>
    <row r="18320" ht="15" customHeight="1"/>
    <row r="18321" ht="15" customHeight="1"/>
    <row r="18322" ht="15" customHeight="1"/>
    <row r="18323" ht="15" customHeight="1"/>
    <row r="18324" ht="15" customHeight="1"/>
    <row r="18325" ht="15" customHeight="1"/>
    <row r="18326" ht="15" customHeight="1"/>
    <row r="18327" ht="15" customHeight="1"/>
    <row r="18328" ht="15" customHeight="1"/>
    <row r="18329" ht="15" customHeight="1"/>
    <row r="18330" ht="15" customHeight="1"/>
    <row r="18331" ht="15" customHeight="1"/>
    <row r="18332" ht="15" customHeight="1"/>
    <row r="18333" ht="15" customHeight="1"/>
    <row r="18334" ht="15" customHeight="1"/>
    <row r="18335" ht="15" customHeight="1"/>
    <row r="18336" ht="15" customHeight="1"/>
    <row r="18337" ht="15" customHeight="1"/>
    <row r="18338" ht="15" customHeight="1"/>
    <row r="18339" ht="15" customHeight="1"/>
    <row r="18340" ht="15" customHeight="1"/>
    <row r="18341" ht="15" customHeight="1"/>
    <row r="18342" ht="15" customHeight="1"/>
    <row r="18343" ht="15" customHeight="1"/>
    <row r="18344" ht="15" customHeight="1"/>
    <row r="18345" ht="15" customHeight="1"/>
    <row r="18346" ht="15" customHeight="1"/>
    <row r="18347" ht="15" customHeight="1"/>
    <row r="18348" ht="15" customHeight="1"/>
    <row r="18349" ht="15" customHeight="1"/>
    <row r="18350" ht="15" customHeight="1"/>
    <row r="18351" ht="15" customHeight="1"/>
    <row r="18352" ht="15" customHeight="1"/>
    <row r="18353" ht="15" customHeight="1"/>
    <row r="18354" ht="15" customHeight="1"/>
    <row r="18355" ht="15" customHeight="1"/>
    <row r="18356" ht="15" customHeight="1"/>
    <row r="18357" ht="15" customHeight="1"/>
    <row r="18358" ht="15" customHeight="1"/>
    <row r="18359" ht="15" customHeight="1"/>
    <row r="18360" ht="15" customHeight="1"/>
    <row r="18361" ht="15" customHeight="1"/>
    <row r="18362" ht="15" customHeight="1"/>
    <row r="18363" ht="15" customHeight="1"/>
    <row r="18364" ht="15" customHeight="1"/>
    <row r="18365" ht="15" customHeight="1"/>
    <row r="18366" ht="15" customHeight="1"/>
    <row r="18367" ht="15" customHeight="1"/>
    <row r="18368" ht="15" customHeight="1"/>
    <row r="18369" ht="15" customHeight="1"/>
    <row r="18370" ht="15" customHeight="1"/>
    <row r="18371" ht="15" customHeight="1"/>
    <row r="18372" ht="15" customHeight="1"/>
    <row r="18373" ht="15" customHeight="1"/>
    <row r="18374" ht="15" customHeight="1"/>
    <row r="18375" ht="15" customHeight="1"/>
    <row r="18376" ht="15" customHeight="1"/>
    <row r="18377" ht="15" customHeight="1"/>
    <row r="18378" ht="15" customHeight="1"/>
    <row r="18379" ht="15" customHeight="1"/>
    <row r="18380" ht="15" customHeight="1"/>
    <row r="18381" ht="15" customHeight="1"/>
    <row r="18382" ht="15" customHeight="1"/>
    <row r="18383" ht="15" customHeight="1"/>
    <row r="18384" ht="15" customHeight="1"/>
    <row r="18385" ht="15" customHeight="1"/>
    <row r="18386" ht="15" customHeight="1"/>
    <row r="18387" ht="15" customHeight="1"/>
    <row r="18388" ht="15" customHeight="1"/>
    <row r="18389" ht="15" customHeight="1"/>
    <row r="18390" ht="15" customHeight="1"/>
    <row r="18391" ht="15" customHeight="1"/>
    <row r="18392" ht="15" customHeight="1"/>
    <row r="18393" ht="15" customHeight="1"/>
    <row r="18394" ht="15" customHeight="1"/>
    <row r="18395" ht="15" customHeight="1"/>
    <row r="18396" ht="15" customHeight="1"/>
    <row r="18397" ht="15" customHeight="1"/>
    <row r="18398" ht="15" customHeight="1"/>
    <row r="18399" ht="15" customHeight="1"/>
    <row r="18400" ht="15" customHeight="1"/>
    <row r="18401" ht="15" customHeight="1"/>
    <row r="18402" ht="15" customHeight="1"/>
    <row r="18403" ht="15" customHeight="1"/>
    <row r="18404" ht="15" customHeight="1"/>
    <row r="18405" ht="15" customHeight="1"/>
    <row r="18406" ht="15" customHeight="1"/>
    <row r="18407" ht="15" customHeight="1"/>
    <row r="18408" ht="15" customHeight="1"/>
    <row r="18409" ht="15" customHeight="1"/>
    <row r="18410" ht="15" customHeight="1"/>
    <row r="18411" ht="15" customHeight="1"/>
    <row r="18412" ht="15" customHeight="1"/>
    <row r="18413" ht="15" customHeight="1"/>
    <row r="18414" ht="15" customHeight="1"/>
    <row r="18415" ht="15" customHeight="1"/>
    <row r="18416" ht="15" customHeight="1"/>
    <row r="18417" ht="15" customHeight="1"/>
    <row r="18418" ht="15" customHeight="1"/>
    <row r="18419" ht="15" customHeight="1"/>
    <row r="18420" ht="15" customHeight="1"/>
    <row r="18421" ht="15" customHeight="1"/>
    <row r="18422" ht="15" customHeight="1"/>
    <row r="18423" ht="15" customHeight="1"/>
    <row r="18424" ht="15" customHeight="1"/>
    <row r="18425" ht="15" customHeight="1"/>
    <row r="18426" ht="15" customHeight="1"/>
    <row r="18427" ht="15" customHeight="1"/>
    <row r="18428" ht="15" customHeight="1"/>
    <row r="18429" ht="15" customHeight="1"/>
    <row r="18430" ht="15" customHeight="1"/>
    <row r="18431" ht="15" customHeight="1"/>
    <row r="18432" ht="15" customHeight="1"/>
    <row r="18433" ht="15" customHeight="1"/>
    <row r="18434" ht="15" customHeight="1"/>
    <row r="18435" ht="15" customHeight="1"/>
    <row r="18436" ht="15" customHeight="1"/>
    <row r="18437" ht="15" customHeight="1"/>
    <row r="18438" ht="15" customHeight="1"/>
    <row r="18439" ht="15" customHeight="1"/>
    <row r="18440" ht="15" customHeight="1"/>
    <row r="18441" ht="15" customHeight="1"/>
    <row r="18442" ht="15" customHeight="1"/>
    <row r="18443" ht="15" customHeight="1"/>
    <row r="18444" ht="15" customHeight="1"/>
    <row r="18445" ht="15" customHeight="1"/>
    <row r="18446" ht="15" customHeight="1"/>
    <row r="18447" ht="15" customHeight="1"/>
    <row r="18448" ht="15" customHeight="1"/>
    <row r="18449" ht="15" customHeight="1"/>
    <row r="18450" ht="15" customHeight="1"/>
    <row r="18451" ht="15" customHeight="1"/>
    <row r="18452" ht="15" customHeight="1"/>
    <row r="18453" ht="15" customHeight="1"/>
    <row r="18454" ht="15" customHeight="1"/>
    <row r="18455" ht="15" customHeight="1"/>
    <row r="18456" ht="15" customHeight="1"/>
    <row r="18457" ht="15" customHeight="1"/>
    <row r="18458" ht="15" customHeight="1"/>
    <row r="18459" ht="15" customHeight="1"/>
    <row r="18460" ht="15" customHeight="1"/>
    <row r="18461" ht="15" customHeight="1"/>
    <row r="18462" ht="15" customHeight="1"/>
    <row r="18463" ht="15" customHeight="1"/>
    <row r="18464" ht="15" customHeight="1"/>
    <row r="18465" ht="15" customHeight="1"/>
    <row r="18466" ht="15" customHeight="1"/>
    <row r="18467" ht="15" customHeight="1"/>
    <row r="18468" ht="15" customHeight="1"/>
    <row r="18469" ht="15" customHeight="1"/>
    <row r="18470" ht="15" customHeight="1"/>
    <row r="18471" ht="15" customHeight="1"/>
    <row r="18472" ht="15" customHeight="1"/>
    <row r="18473" ht="15" customHeight="1"/>
    <row r="18474" ht="15" customHeight="1"/>
    <row r="18475" ht="15" customHeight="1"/>
    <row r="18476" ht="15" customHeight="1"/>
    <row r="18477" ht="15" customHeight="1"/>
    <row r="18478" ht="15" customHeight="1"/>
    <row r="18479" ht="15" customHeight="1"/>
    <row r="18480" ht="15" customHeight="1"/>
    <row r="18481" ht="15" customHeight="1"/>
    <row r="18482" ht="15" customHeight="1"/>
    <row r="18483" ht="15" customHeight="1"/>
    <row r="18484" ht="15" customHeight="1"/>
    <row r="18485" ht="15" customHeight="1"/>
    <row r="18486" ht="15" customHeight="1"/>
    <row r="18487" ht="15" customHeight="1"/>
    <row r="18488" ht="15" customHeight="1"/>
    <row r="18489" ht="15" customHeight="1"/>
    <row r="18490" ht="15" customHeight="1"/>
    <row r="18491" ht="15" customHeight="1"/>
    <row r="18492" ht="15" customHeight="1"/>
    <row r="18493" ht="15" customHeight="1"/>
    <row r="18494" ht="15" customHeight="1"/>
    <row r="18495" ht="15" customHeight="1"/>
    <row r="18496" ht="15" customHeight="1"/>
    <row r="18497" ht="15" customHeight="1"/>
    <row r="18498" ht="15" customHeight="1"/>
    <row r="18499" ht="15" customHeight="1"/>
    <row r="18500" ht="15" customHeight="1"/>
    <row r="18501" ht="15" customHeight="1"/>
    <row r="18502" ht="15" customHeight="1"/>
    <row r="18503" ht="15" customHeight="1"/>
    <row r="18504" ht="15" customHeight="1"/>
    <row r="18505" ht="15" customHeight="1"/>
    <row r="18506" ht="15" customHeight="1"/>
    <row r="18507" ht="15" customHeight="1"/>
    <row r="18508" ht="15" customHeight="1"/>
    <row r="18509" ht="15" customHeight="1"/>
    <row r="18510" ht="15" customHeight="1"/>
    <row r="18511" ht="15" customHeight="1"/>
    <row r="18512" ht="15" customHeight="1"/>
    <row r="18513" ht="15" customHeight="1"/>
    <row r="18514" ht="15" customHeight="1"/>
    <row r="18515" ht="15" customHeight="1"/>
    <row r="18516" ht="15" customHeight="1"/>
    <row r="18517" ht="15" customHeight="1"/>
    <row r="18518" ht="15" customHeight="1"/>
    <row r="18519" ht="15" customHeight="1"/>
    <row r="18520" ht="15" customHeight="1"/>
    <row r="18521" ht="15" customHeight="1"/>
    <row r="18522" ht="15" customHeight="1"/>
    <row r="18523" ht="15" customHeight="1"/>
    <row r="18524" ht="15" customHeight="1"/>
    <row r="18525" ht="15" customHeight="1"/>
    <row r="18526" ht="15" customHeight="1"/>
    <row r="18527" ht="15" customHeight="1"/>
    <row r="18528" ht="15" customHeight="1"/>
    <row r="18529" ht="15" customHeight="1"/>
    <row r="18530" ht="15" customHeight="1"/>
    <row r="18531" ht="15" customHeight="1"/>
    <row r="18532" ht="15" customHeight="1"/>
    <row r="18533" ht="15" customHeight="1"/>
    <row r="18534" ht="15" customHeight="1"/>
    <row r="18535" ht="15" customHeight="1"/>
    <row r="18536" ht="15" customHeight="1"/>
    <row r="18537" ht="15" customHeight="1"/>
    <row r="18538" ht="15" customHeight="1"/>
    <row r="18539" ht="15" customHeight="1"/>
    <row r="18540" ht="15" customHeight="1"/>
    <row r="18541" ht="15" customHeight="1"/>
    <row r="18542" ht="15" customHeight="1"/>
    <row r="18543" ht="15" customHeight="1"/>
    <row r="18544" ht="15" customHeight="1"/>
    <row r="18545" ht="15" customHeight="1"/>
    <row r="18546" ht="15" customHeight="1"/>
    <row r="18547" ht="15" customHeight="1"/>
    <row r="18548" ht="15" customHeight="1"/>
    <row r="18549" ht="15" customHeight="1"/>
    <row r="18550" ht="15" customHeight="1"/>
    <row r="18551" ht="15" customHeight="1"/>
    <row r="18552" ht="15" customHeight="1"/>
    <row r="18553" ht="15" customHeight="1"/>
    <row r="18554" ht="15" customHeight="1"/>
    <row r="18555" ht="15" customHeight="1"/>
    <row r="18556" ht="15" customHeight="1"/>
    <row r="18557" ht="15" customHeight="1"/>
    <row r="18558" ht="15" customHeight="1"/>
    <row r="18559" ht="15" customHeight="1"/>
    <row r="18560" ht="15" customHeight="1"/>
    <row r="18561" ht="15" customHeight="1"/>
    <row r="18562" ht="15" customHeight="1"/>
    <row r="18563" ht="15" customHeight="1"/>
    <row r="18564" ht="15" customHeight="1"/>
    <row r="18565" ht="15" customHeight="1"/>
    <row r="18566" ht="15" customHeight="1"/>
    <row r="18567" ht="15" customHeight="1"/>
    <row r="18568" ht="15" customHeight="1"/>
    <row r="18569" ht="15" customHeight="1"/>
    <row r="18570" ht="15" customHeight="1"/>
    <row r="18571" ht="15" customHeight="1"/>
    <row r="18572" ht="15" customHeight="1"/>
    <row r="18573" ht="15" customHeight="1"/>
    <row r="18574" ht="15" customHeight="1"/>
    <row r="18575" ht="15" customHeight="1"/>
    <row r="18576" ht="15" customHeight="1"/>
    <row r="18577" ht="15" customHeight="1"/>
    <row r="18578" ht="15" customHeight="1"/>
    <row r="18579" ht="15" customHeight="1"/>
    <row r="18580" ht="15" customHeight="1"/>
    <row r="18581" ht="15" customHeight="1"/>
    <row r="18582" ht="15" customHeight="1"/>
    <row r="18583" ht="15" customHeight="1"/>
    <row r="18584" ht="15" customHeight="1"/>
    <row r="18585" ht="15" customHeight="1"/>
    <row r="18586" ht="15" customHeight="1"/>
    <row r="18587" ht="15" customHeight="1"/>
    <row r="18588" ht="15" customHeight="1"/>
    <row r="18589" ht="15" customHeight="1"/>
    <row r="18590" ht="15" customHeight="1"/>
    <row r="18591" ht="15" customHeight="1"/>
    <row r="18592" ht="15" customHeight="1"/>
    <row r="18593" ht="15" customHeight="1"/>
    <row r="18594" ht="15" customHeight="1"/>
    <row r="18595" ht="15" customHeight="1"/>
    <row r="18596" ht="15" customHeight="1"/>
    <row r="18597" ht="15" customHeight="1"/>
    <row r="18598" ht="15" customHeight="1"/>
    <row r="18599" ht="15" customHeight="1"/>
    <row r="18600" ht="15" customHeight="1"/>
    <row r="18601" ht="15" customHeight="1"/>
    <row r="18602" ht="15" customHeight="1"/>
    <row r="18603" ht="15" customHeight="1"/>
    <row r="18604" ht="15" customHeight="1"/>
    <row r="18605" ht="15" customHeight="1"/>
    <row r="18606" ht="15" customHeight="1"/>
    <row r="18607" ht="15" customHeight="1"/>
    <row r="18608" ht="15" customHeight="1"/>
    <row r="18609" ht="15" customHeight="1"/>
    <row r="18610" ht="15" customHeight="1"/>
    <row r="18611" ht="15" customHeight="1"/>
    <row r="18612" ht="15" customHeight="1"/>
    <row r="18613" ht="15" customHeight="1"/>
    <row r="18614" ht="15" customHeight="1"/>
    <row r="18615" ht="15" customHeight="1"/>
    <row r="18616" ht="15" customHeight="1"/>
    <row r="18617" ht="15" customHeight="1"/>
    <row r="18618" ht="15" customHeight="1"/>
    <row r="18619" ht="15" customHeight="1"/>
    <row r="18620" ht="15" customHeight="1"/>
    <row r="18621" ht="15" customHeight="1"/>
    <row r="18622" ht="15" customHeight="1"/>
    <row r="18623" ht="15" customHeight="1"/>
    <row r="18624" ht="15" customHeight="1"/>
    <row r="18625" ht="15" customHeight="1"/>
    <row r="18626" ht="15" customHeight="1"/>
    <row r="18627" ht="15" customHeight="1"/>
    <row r="18628" ht="15" customHeight="1"/>
    <row r="18629" ht="15" customHeight="1"/>
    <row r="18630" ht="15" customHeight="1"/>
    <row r="18631" ht="15" customHeight="1"/>
    <row r="18632" ht="15" customHeight="1"/>
    <row r="18633" ht="15" customHeight="1"/>
    <row r="18634" ht="15" customHeight="1"/>
    <row r="18635" ht="15" customHeight="1"/>
    <row r="18636" ht="15" customHeight="1"/>
    <row r="18637" ht="15" customHeight="1"/>
    <row r="18638" ht="15" customHeight="1"/>
    <row r="18639" ht="15" customHeight="1"/>
    <row r="18640" ht="15" customHeight="1"/>
    <row r="18641" ht="15" customHeight="1"/>
    <row r="18642" ht="15" customHeight="1"/>
    <row r="18643" ht="15" customHeight="1"/>
    <row r="18644" ht="15" customHeight="1"/>
    <row r="18645" ht="15" customHeight="1"/>
    <row r="18646" ht="15" customHeight="1"/>
    <row r="18647" ht="15" customHeight="1"/>
    <row r="18648" ht="15" customHeight="1"/>
    <row r="18649" ht="15" customHeight="1"/>
    <row r="18650" ht="15" customHeight="1"/>
    <row r="18651" ht="15" customHeight="1"/>
    <row r="18652" ht="15" customHeight="1"/>
    <row r="18653" ht="15" customHeight="1"/>
    <row r="18654" ht="15" customHeight="1"/>
    <row r="18655" ht="15" customHeight="1"/>
    <row r="18656" ht="15" customHeight="1"/>
    <row r="18657" ht="15" customHeight="1"/>
    <row r="18658" ht="15" customHeight="1"/>
    <row r="18659" ht="15" customHeight="1"/>
    <row r="18660" ht="15" customHeight="1"/>
    <row r="18661" ht="15" customHeight="1"/>
    <row r="18662" ht="15" customHeight="1"/>
    <row r="18663" ht="15" customHeight="1"/>
    <row r="18664" ht="15" customHeight="1"/>
    <row r="18665" ht="15" customHeight="1"/>
    <row r="18666" ht="15" customHeight="1"/>
    <row r="18667" ht="15" customHeight="1"/>
    <row r="18668" ht="15" customHeight="1"/>
    <row r="18669" ht="15" customHeight="1"/>
    <row r="18670" ht="15" customHeight="1"/>
    <row r="18671" ht="15" customHeight="1"/>
    <row r="18672" ht="15" customHeight="1"/>
    <row r="18673" ht="15" customHeight="1"/>
    <row r="18674" ht="15" customHeight="1"/>
    <row r="18675" ht="15" customHeight="1"/>
    <row r="18676" ht="15" customHeight="1"/>
    <row r="18677" ht="15" customHeight="1"/>
    <row r="18678" ht="15" customHeight="1"/>
    <row r="18679" ht="15" customHeight="1"/>
    <row r="18680" ht="15" customHeight="1"/>
    <row r="18681" ht="15" customHeight="1"/>
    <row r="18682" ht="15" customHeight="1"/>
    <row r="18683" ht="15" customHeight="1"/>
    <row r="18684" ht="15" customHeight="1"/>
    <row r="18685" ht="15" customHeight="1"/>
    <row r="18686" ht="15" customHeight="1"/>
    <row r="18687" ht="15" customHeight="1"/>
    <row r="18688" ht="15" customHeight="1"/>
    <row r="18689" ht="15" customHeight="1"/>
    <row r="18690" ht="15" customHeight="1"/>
    <row r="18691" ht="15" customHeight="1"/>
    <row r="18692" ht="15" customHeight="1"/>
    <row r="18693" ht="15" customHeight="1"/>
    <row r="18694" ht="15" customHeight="1"/>
    <row r="18695" ht="15" customHeight="1"/>
    <row r="18696" ht="15" customHeight="1"/>
    <row r="18697" ht="15" customHeight="1"/>
    <row r="18698" ht="15" customHeight="1"/>
    <row r="18699" ht="15" customHeight="1"/>
    <row r="18700" ht="15" customHeight="1"/>
    <row r="18701" ht="15" customHeight="1"/>
    <row r="18702" ht="15" customHeight="1"/>
    <row r="18703" ht="15" customHeight="1"/>
    <row r="18704" ht="15" customHeight="1"/>
    <row r="18705" ht="15" customHeight="1"/>
    <row r="18706" ht="15" customHeight="1"/>
    <row r="18707" ht="15" customHeight="1"/>
    <row r="18708" ht="15" customHeight="1"/>
    <row r="18709" ht="15" customHeight="1"/>
    <row r="18710" ht="15" customHeight="1"/>
    <row r="18711" ht="15" customHeight="1"/>
    <row r="18712" ht="15" customHeight="1"/>
    <row r="18713" ht="15" customHeight="1"/>
    <row r="18714" ht="15" customHeight="1"/>
    <row r="18715" ht="15" customHeight="1"/>
    <row r="18716" ht="15" customHeight="1"/>
    <row r="18717" ht="15" customHeight="1"/>
    <row r="18718" ht="15" customHeight="1"/>
    <row r="18719" ht="15" customHeight="1"/>
    <row r="18720" ht="15" customHeight="1"/>
    <row r="18721" ht="15" customHeight="1"/>
    <row r="18722" ht="15" customHeight="1"/>
    <row r="18723" ht="15" customHeight="1"/>
    <row r="18724" ht="15" customHeight="1"/>
    <row r="18725" ht="15" customHeight="1"/>
    <row r="18726" ht="15" customHeight="1"/>
    <row r="18727" ht="15" customHeight="1"/>
    <row r="18728" ht="15" customHeight="1"/>
    <row r="18729" ht="15" customHeight="1"/>
    <row r="18730" ht="15" customHeight="1"/>
    <row r="18731" ht="15" customHeight="1"/>
    <row r="18732" ht="15" customHeight="1"/>
    <row r="18733" ht="15" customHeight="1"/>
    <row r="18734" ht="15" customHeight="1"/>
    <row r="18735" ht="15" customHeight="1"/>
    <row r="18736" ht="15" customHeight="1"/>
    <row r="18737" ht="15" customHeight="1"/>
    <row r="18738" ht="15" customHeight="1"/>
    <row r="18739" ht="15" customHeight="1"/>
    <row r="18740" ht="15" customHeight="1"/>
    <row r="18741" ht="15" customHeight="1"/>
    <row r="18742" ht="15" customHeight="1"/>
    <row r="18743" ht="15" customHeight="1"/>
    <row r="18744" ht="15" customHeight="1"/>
    <row r="18745" ht="15" customHeight="1"/>
    <row r="18746" ht="15" customHeight="1"/>
    <row r="18747" ht="15" customHeight="1"/>
    <row r="18748" ht="15" customHeight="1"/>
    <row r="18749" ht="15" customHeight="1"/>
    <row r="18750" ht="15" customHeight="1"/>
    <row r="18751" ht="15" customHeight="1"/>
    <row r="18752" ht="15" customHeight="1"/>
    <row r="18753" ht="15" customHeight="1"/>
    <row r="18754" ht="15" customHeight="1"/>
    <row r="18755" ht="15" customHeight="1"/>
    <row r="18756" ht="15" customHeight="1"/>
    <row r="18757" ht="15" customHeight="1"/>
    <row r="18758" ht="15" customHeight="1"/>
    <row r="18759" ht="15" customHeight="1"/>
    <row r="18760" ht="15" customHeight="1"/>
    <row r="18761" ht="15" customHeight="1"/>
    <row r="18762" ht="15" customHeight="1"/>
    <row r="18763" ht="15" customHeight="1"/>
    <row r="18764" ht="15" customHeight="1"/>
    <row r="18765" ht="15" customHeight="1"/>
    <row r="18766" ht="15" customHeight="1"/>
    <row r="18767" ht="15" customHeight="1"/>
    <row r="18768" ht="15" customHeight="1"/>
    <row r="18769" ht="15" customHeight="1"/>
    <row r="18770" ht="15" customHeight="1"/>
    <row r="18771" ht="15" customHeight="1"/>
    <row r="18772" ht="15" customHeight="1"/>
    <row r="18773" ht="15" customHeight="1"/>
    <row r="18774" ht="15" customHeight="1"/>
    <row r="18775" ht="15" customHeight="1"/>
    <row r="18776" ht="15" customHeight="1"/>
    <row r="18777" ht="15" customHeight="1"/>
    <row r="18778" ht="15" customHeight="1"/>
    <row r="18779" ht="15" customHeight="1"/>
    <row r="18780" ht="15" customHeight="1"/>
    <row r="18781" ht="15" customHeight="1"/>
    <row r="18782" ht="15" customHeight="1"/>
    <row r="18783" ht="15" customHeight="1"/>
    <row r="18784" ht="15" customHeight="1"/>
    <row r="18785" ht="15" customHeight="1"/>
    <row r="18786" ht="15" customHeight="1"/>
    <row r="18787" ht="15" customHeight="1"/>
    <row r="18788" ht="15" customHeight="1"/>
    <row r="18789" ht="15" customHeight="1"/>
    <row r="18790" ht="15" customHeight="1"/>
    <row r="18791" ht="15" customHeight="1"/>
    <row r="18792" ht="15" customHeight="1"/>
    <row r="18793" ht="15" customHeight="1"/>
    <row r="18794" ht="15" customHeight="1"/>
    <row r="18795" ht="15" customHeight="1"/>
    <row r="18796" ht="15" customHeight="1"/>
    <row r="18797" ht="15" customHeight="1"/>
    <row r="18798" ht="15" customHeight="1"/>
    <row r="18799" ht="15" customHeight="1"/>
    <row r="18800" ht="15" customHeight="1"/>
    <row r="18801" ht="15" customHeight="1"/>
    <row r="18802" ht="15" customHeight="1"/>
    <row r="18803" ht="15" customHeight="1"/>
    <row r="18804" ht="15" customHeight="1"/>
    <row r="18805" ht="15" customHeight="1"/>
    <row r="18806" ht="15" customHeight="1"/>
    <row r="18807" ht="15" customHeight="1"/>
    <row r="18808" ht="15" customHeight="1"/>
    <row r="18809" ht="15" customHeight="1"/>
    <row r="18810" ht="15" customHeight="1"/>
    <row r="18811" ht="15" customHeight="1"/>
    <row r="18812" ht="15" customHeight="1"/>
    <row r="18813" ht="15" customHeight="1"/>
    <row r="18814" ht="15" customHeight="1"/>
    <row r="18815" ht="15" customHeight="1"/>
    <row r="18816" ht="15" customHeight="1"/>
    <row r="18817" ht="15" customHeight="1"/>
    <row r="18818" ht="15" customHeight="1"/>
    <row r="18819" ht="15" customHeight="1"/>
    <row r="18820" ht="15" customHeight="1"/>
    <row r="18821" ht="15" customHeight="1"/>
    <row r="18822" ht="15" customHeight="1"/>
    <row r="18823" ht="15" customHeight="1"/>
    <row r="18824" ht="15" customHeight="1"/>
    <row r="18825" ht="15" customHeight="1"/>
    <row r="18826" ht="15" customHeight="1"/>
    <row r="18827" ht="15" customHeight="1"/>
    <row r="18828" ht="15" customHeight="1"/>
    <row r="18829" ht="15" customHeight="1"/>
    <row r="18830" ht="15" customHeight="1"/>
    <row r="18831" ht="15" customHeight="1"/>
    <row r="18832" ht="15" customHeight="1"/>
    <row r="18833" ht="15" customHeight="1"/>
    <row r="18834" ht="15" customHeight="1"/>
    <row r="18835" ht="15" customHeight="1"/>
    <row r="18836" ht="15" customHeight="1"/>
    <row r="18837" ht="15" customHeight="1"/>
    <row r="18838" ht="15" customHeight="1"/>
    <row r="18839" ht="15" customHeight="1"/>
    <row r="18840" ht="15" customHeight="1"/>
    <row r="18841" ht="15" customHeight="1"/>
    <row r="18842" ht="15" customHeight="1"/>
    <row r="18843" ht="15" customHeight="1"/>
    <row r="18844" ht="15" customHeight="1"/>
    <row r="18845" ht="15" customHeight="1"/>
    <row r="18846" ht="15" customHeight="1"/>
    <row r="18847" ht="15" customHeight="1"/>
    <row r="18848" ht="15" customHeight="1"/>
    <row r="18849" ht="15" customHeight="1"/>
    <row r="18850" ht="15" customHeight="1"/>
    <row r="18851" ht="15" customHeight="1"/>
    <row r="18852" ht="15" customHeight="1"/>
    <row r="18853" ht="15" customHeight="1"/>
    <row r="18854" ht="15" customHeight="1"/>
    <row r="18855" ht="15" customHeight="1"/>
    <row r="18856" ht="15" customHeight="1"/>
    <row r="18857" ht="15" customHeight="1"/>
    <row r="18858" ht="15" customHeight="1"/>
    <row r="18859" ht="15" customHeight="1"/>
    <row r="18860" ht="15" customHeight="1"/>
    <row r="18861" ht="15" customHeight="1"/>
    <row r="18862" ht="15" customHeight="1"/>
    <row r="18863" ht="15" customHeight="1"/>
    <row r="18864" ht="15" customHeight="1"/>
    <row r="18865" ht="15" customHeight="1"/>
    <row r="18866" ht="15" customHeight="1"/>
    <row r="18867" ht="15" customHeight="1"/>
    <row r="18868" ht="15" customHeight="1"/>
    <row r="18869" ht="15" customHeight="1"/>
    <row r="18870" ht="15" customHeight="1"/>
    <row r="18871" ht="15" customHeight="1"/>
    <row r="18872" ht="15" customHeight="1"/>
    <row r="18873" ht="15" customHeight="1"/>
    <row r="18874" ht="15" customHeight="1"/>
    <row r="18875" ht="15" customHeight="1"/>
    <row r="18876" ht="15" customHeight="1"/>
    <row r="18877" ht="15" customHeight="1"/>
    <row r="18878" ht="15" customHeight="1"/>
    <row r="18879" ht="15" customHeight="1"/>
    <row r="18880" ht="15" customHeight="1"/>
    <row r="18881" ht="15" customHeight="1"/>
    <row r="18882" ht="15" customHeight="1"/>
    <row r="18883" ht="15" customHeight="1"/>
    <row r="18884" ht="15" customHeight="1"/>
    <row r="18885" ht="15" customHeight="1"/>
    <row r="18886" ht="15" customHeight="1"/>
    <row r="18887" ht="15" customHeight="1"/>
    <row r="18888" ht="15" customHeight="1"/>
    <row r="18889" ht="15" customHeight="1"/>
    <row r="18890" ht="15" customHeight="1"/>
    <row r="18891" ht="15" customHeight="1"/>
    <row r="18892" ht="15" customHeight="1"/>
    <row r="18893" ht="15" customHeight="1"/>
    <row r="18894" ht="15" customHeight="1"/>
    <row r="18895" ht="15" customHeight="1"/>
    <row r="18896" ht="15" customHeight="1"/>
    <row r="18897" ht="15" customHeight="1"/>
    <row r="18898" ht="15" customHeight="1"/>
    <row r="18899" ht="15" customHeight="1"/>
    <row r="18900" ht="15" customHeight="1"/>
    <row r="18901" ht="15" customHeight="1"/>
    <row r="18902" ht="15" customHeight="1"/>
    <row r="18903" ht="15" customHeight="1"/>
    <row r="18904" ht="15" customHeight="1"/>
    <row r="18905" ht="15" customHeight="1"/>
    <row r="18906" ht="15" customHeight="1"/>
    <row r="18907" ht="15" customHeight="1"/>
    <row r="18908" ht="15" customHeight="1"/>
    <row r="18909" ht="15" customHeight="1"/>
    <row r="18910" ht="15" customHeight="1"/>
    <row r="18911" ht="15" customHeight="1"/>
    <row r="18912" ht="15" customHeight="1"/>
    <row r="18913" ht="15" customHeight="1"/>
    <row r="18914" ht="15" customHeight="1"/>
    <row r="18915" ht="15" customHeight="1"/>
    <row r="18916" ht="15" customHeight="1"/>
    <row r="18917" ht="15" customHeight="1"/>
    <row r="18918" ht="15" customHeight="1"/>
    <row r="18919" ht="15" customHeight="1"/>
    <row r="18920" ht="15" customHeight="1"/>
    <row r="18921" ht="15" customHeight="1"/>
    <row r="18922" ht="15" customHeight="1"/>
    <row r="18923" ht="15" customHeight="1"/>
    <row r="18924" ht="15" customHeight="1"/>
    <row r="18925" ht="15" customHeight="1"/>
    <row r="18926" ht="15" customHeight="1"/>
    <row r="18927" ht="15" customHeight="1"/>
    <row r="18928" ht="15" customHeight="1"/>
    <row r="18929" ht="15" customHeight="1"/>
    <row r="18930" ht="15" customHeight="1"/>
    <row r="18931" ht="15" customHeight="1"/>
    <row r="18932" ht="15" customHeight="1"/>
    <row r="18933" ht="15" customHeight="1"/>
    <row r="18934" ht="15" customHeight="1"/>
    <row r="18935" ht="15" customHeight="1"/>
    <row r="18936" ht="15" customHeight="1"/>
    <row r="18937" ht="15" customHeight="1"/>
    <row r="18938" ht="15" customHeight="1"/>
    <row r="18939" ht="15" customHeight="1"/>
    <row r="18940" ht="15" customHeight="1"/>
    <row r="18941" ht="15" customHeight="1"/>
    <row r="18942" ht="15" customHeight="1"/>
    <row r="18943" ht="15" customHeight="1"/>
    <row r="18944" ht="15" customHeight="1"/>
    <row r="18945" ht="15" customHeight="1"/>
    <row r="18946" ht="15" customHeight="1"/>
    <row r="18947" ht="15" customHeight="1"/>
    <row r="18948" ht="15" customHeight="1"/>
    <row r="18949" ht="15" customHeight="1"/>
    <row r="18950" ht="15" customHeight="1"/>
    <row r="18951" ht="15" customHeight="1"/>
    <row r="18952" ht="15" customHeight="1"/>
    <row r="18953" ht="15" customHeight="1"/>
    <row r="18954" ht="15" customHeight="1"/>
    <row r="18955" ht="15" customHeight="1"/>
    <row r="18956" ht="15" customHeight="1"/>
    <row r="18957" ht="15" customHeight="1"/>
    <row r="18958" ht="15" customHeight="1"/>
    <row r="18959" ht="15" customHeight="1"/>
    <row r="18960" ht="15" customHeight="1"/>
    <row r="18961" ht="15" customHeight="1"/>
    <row r="18962" ht="15" customHeight="1"/>
    <row r="18963" ht="15" customHeight="1"/>
    <row r="18964" ht="15" customHeight="1"/>
    <row r="18965" ht="15" customHeight="1"/>
    <row r="18966" ht="15" customHeight="1"/>
    <row r="18967" ht="15" customHeight="1"/>
    <row r="18968" ht="15" customHeight="1"/>
    <row r="18969" ht="15" customHeight="1"/>
    <row r="18970" ht="15" customHeight="1"/>
    <row r="18971" ht="15" customHeight="1"/>
    <row r="18972" ht="15" customHeight="1"/>
    <row r="18973" ht="15" customHeight="1"/>
    <row r="18974" ht="15" customHeight="1"/>
    <row r="18975" ht="15" customHeight="1"/>
    <row r="18976" ht="15" customHeight="1"/>
    <row r="18977" ht="15" customHeight="1"/>
    <row r="18978" ht="15" customHeight="1"/>
    <row r="18979" ht="15" customHeight="1"/>
    <row r="18980" ht="15" customHeight="1"/>
    <row r="18981" ht="15" customHeight="1"/>
    <row r="18982" ht="15" customHeight="1"/>
    <row r="18983" ht="15" customHeight="1"/>
    <row r="18984" ht="15" customHeight="1"/>
    <row r="18985" ht="15" customHeight="1"/>
    <row r="18986" ht="15" customHeight="1"/>
    <row r="18987" ht="15" customHeight="1"/>
    <row r="18988" ht="15" customHeight="1"/>
    <row r="18989" ht="15" customHeight="1"/>
    <row r="18990" ht="15" customHeight="1"/>
    <row r="18991" ht="15" customHeight="1"/>
    <row r="18992" ht="15" customHeight="1"/>
    <row r="18993" ht="15" customHeight="1"/>
    <row r="18994" ht="15" customHeight="1"/>
    <row r="18995" ht="15" customHeight="1"/>
    <row r="18996" ht="15" customHeight="1"/>
    <row r="18997" ht="15" customHeight="1"/>
    <row r="18998" ht="15" customHeight="1"/>
    <row r="18999" ht="15" customHeight="1"/>
    <row r="19000" ht="15" customHeight="1"/>
    <row r="19001" ht="15" customHeight="1"/>
    <row r="19002" ht="15" customHeight="1"/>
    <row r="19003" ht="15" customHeight="1"/>
    <row r="19004" ht="15" customHeight="1"/>
    <row r="19005" ht="15" customHeight="1"/>
    <row r="19006" ht="15" customHeight="1"/>
    <row r="19007" ht="15" customHeight="1"/>
    <row r="19008" ht="15" customHeight="1"/>
    <row r="19009" ht="15" customHeight="1"/>
    <row r="19010" ht="15" customHeight="1"/>
    <row r="19011" ht="15" customHeight="1"/>
    <row r="19012" ht="15" customHeight="1"/>
    <row r="19013" ht="15" customHeight="1"/>
    <row r="19014" ht="15" customHeight="1"/>
    <row r="19015" ht="15" customHeight="1"/>
    <row r="19016" ht="15" customHeight="1"/>
    <row r="19017" ht="15" customHeight="1"/>
    <row r="19018" ht="15" customHeight="1"/>
    <row r="19019" ht="15" customHeight="1"/>
    <row r="19020" ht="15" customHeight="1"/>
    <row r="19021" ht="15" customHeight="1"/>
    <row r="19022" ht="15" customHeight="1"/>
    <row r="19023" ht="15" customHeight="1"/>
    <row r="19024" ht="15" customHeight="1"/>
    <row r="19025" ht="15" customHeight="1"/>
    <row r="19026" ht="15" customHeight="1"/>
    <row r="19027" ht="15" customHeight="1"/>
    <row r="19028" ht="15" customHeight="1"/>
    <row r="19029" ht="15" customHeight="1"/>
    <row r="19030" ht="15" customHeight="1"/>
    <row r="19031" ht="15" customHeight="1"/>
    <row r="19032" ht="15" customHeight="1"/>
    <row r="19033" ht="15" customHeight="1"/>
    <row r="19034" ht="15" customHeight="1"/>
    <row r="19035" ht="15" customHeight="1"/>
    <row r="19036" ht="15" customHeight="1"/>
    <row r="19037" ht="15" customHeight="1"/>
    <row r="19038" ht="15" customHeight="1"/>
    <row r="19039" ht="15" customHeight="1"/>
    <row r="19040" ht="15" customHeight="1"/>
    <row r="19041" ht="15" customHeight="1"/>
    <row r="19042" ht="15" customHeight="1"/>
    <row r="19043" ht="15" customHeight="1"/>
    <row r="19044" ht="15" customHeight="1"/>
    <row r="19045" ht="15" customHeight="1"/>
    <row r="19046" ht="15" customHeight="1"/>
    <row r="19047" ht="15" customHeight="1"/>
    <row r="19048" ht="15" customHeight="1"/>
    <row r="19049" ht="15" customHeight="1"/>
    <row r="19050" ht="15" customHeight="1"/>
    <row r="19051" ht="15" customHeight="1"/>
    <row r="19052" ht="15" customHeight="1"/>
    <row r="19053" ht="15" customHeight="1"/>
    <row r="19054" ht="15" customHeight="1"/>
    <row r="19055" ht="15" customHeight="1"/>
    <row r="19056" ht="15" customHeight="1"/>
    <row r="19057" ht="15" customHeight="1"/>
    <row r="19058" ht="15" customHeight="1"/>
    <row r="19059" ht="15" customHeight="1"/>
    <row r="19060" ht="15" customHeight="1"/>
    <row r="19061" ht="15" customHeight="1"/>
    <row r="19062" ht="15" customHeight="1"/>
    <row r="19063" ht="15" customHeight="1"/>
    <row r="19064" ht="15" customHeight="1"/>
    <row r="19065" ht="15" customHeight="1"/>
    <row r="19066" ht="15" customHeight="1"/>
    <row r="19067" ht="15" customHeight="1"/>
    <row r="19068" ht="15" customHeight="1"/>
    <row r="19069" ht="15" customHeight="1"/>
    <row r="19070" ht="15" customHeight="1"/>
    <row r="19071" ht="15" customHeight="1"/>
    <row r="19072" ht="15" customHeight="1"/>
    <row r="19073" ht="15" customHeight="1"/>
    <row r="19074" ht="15" customHeight="1"/>
    <row r="19075" ht="15" customHeight="1"/>
    <row r="19076" ht="15" customHeight="1"/>
    <row r="19077" ht="15" customHeight="1"/>
    <row r="19078" ht="15" customHeight="1"/>
    <row r="19079" ht="15" customHeight="1"/>
    <row r="19080" ht="15" customHeight="1"/>
    <row r="19081" ht="15" customHeight="1"/>
    <row r="19082" ht="15" customHeight="1"/>
    <row r="19083" ht="15" customHeight="1"/>
    <row r="19084" ht="15" customHeight="1"/>
    <row r="19085" ht="15" customHeight="1"/>
    <row r="19086" ht="15" customHeight="1"/>
    <row r="19087" ht="15" customHeight="1"/>
    <row r="19088" ht="15" customHeight="1"/>
    <row r="19089" ht="15" customHeight="1"/>
    <row r="19090" ht="15" customHeight="1"/>
    <row r="19091" ht="15" customHeight="1"/>
    <row r="19092" ht="15" customHeight="1"/>
    <row r="19093" ht="15" customHeight="1"/>
    <row r="19094" ht="15" customHeight="1"/>
    <row r="19095" ht="15" customHeight="1"/>
    <row r="19096" ht="15" customHeight="1"/>
    <row r="19097" ht="15" customHeight="1"/>
    <row r="19098" ht="15" customHeight="1"/>
    <row r="19099" ht="15" customHeight="1"/>
    <row r="19100" ht="15" customHeight="1"/>
    <row r="19101" ht="15" customHeight="1"/>
    <row r="19102" ht="15" customHeight="1"/>
    <row r="19103" ht="15" customHeight="1"/>
    <row r="19104" ht="15" customHeight="1"/>
    <row r="19105" ht="15" customHeight="1"/>
    <row r="19106" ht="15" customHeight="1"/>
    <row r="19107" ht="15" customHeight="1"/>
    <row r="19108" ht="15" customHeight="1"/>
    <row r="19109" ht="15" customHeight="1"/>
    <row r="19110" ht="15" customHeight="1"/>
    <row r="19111" ht="15" customHeight="1"/>
    <row r="19112" ht="15" customHeight="1"/>
    <row r="19113" ht="15" customHeight="1"/>
    <row r="19114" ht="15" customHeight="1"/>
    <row r="19115" ht="15" customHeight="1"/>
    <row r="19116" ht="15" customHeight="1"/>
    <row r="19117" ht="15" customHeight="1"/>
    <row r="19118" ht="15" customHeight="1"/>
    <row r="19119" ht="15" customHeight="1"/>
    <row r="19120" ht="15" customHeight="1"/>
    <row r="19121" ht="15" customHeight="1"/>
    <row r="19122" ht="15" customHeight="1"/>
    <row r="19123" ht="15" customHeight="1"/>
    <row r="19124" ht="15" customHeight="1"/>
    <row r="19125" ht="15" customHeight="1"/>
    <row r="19126" ht="15" customHeight="1"/>
    <row r="19127" ht="15" customHeight="1"/>
    <row r="19128" ht="15" customHeight="1"/>
    <row r="19129" ht="15" customHeight="1"/>
    <row r="19130" ht="15" customHeight="1"/>
    <row r="19131" ht="15" customHeight="1"/>
    <row r="19132" ht="15" customHeight="1"/>
    <row r="19133" ht="15" customHeight="1"/>
    <row r="19134" ht="15" customHeight="1"/>
    <row r="19135" ht="15" customHeight="1"/>
    <row r="19136" ht="15" customHeight="1"/>
    <row r="19137" ht="15" customHeight="1"/>
    <row r="19138" ht="15" customHeight="1"/>
    <row r="19139" ht="15" customHeight="1"/>
    <row r="19140" ht="15" customHeight="1"/>
    <row r="19141" ht="15" customHeight="1"/>
    <row r="19142" ht="15" customHeight="1"/>
    <row r="19143" ht="15" customHeight="1"/>
    <row r="19144" ht="15" customHeight="1"/>
    <row r="19145" ht="15" customHeight="1"/>
    <row r="19146" ht="15" customHeight="1"/>
    <row r="19147" ht="15" customHeight="1"/>
    <row r="19148" ht="15" customHeight="1"/>
    <row r="19149" ht="15" customHeight="1"/>
    <row r="19150" ht="15" customHeight="1"/>
    <row r="19151" ht="15" customHeight="1"/>
    <row r="19152" ht="15" customHeight="1"/>
    <row r="19153" ht="15" customHeight="1"/>
    <row r="19154" ht="15" customHeight="1"/>
    <row r="19155" ht="15" customHeight="1"/>
    <row r="19156" ht="15" customHeight="1"/>
    <row r="19157" ht="15" customHeight="1"/>
    <row r="19158" ht="15" customHeight="1"/>
    <row r="19159" ht="15" customHeight="1"/>
    <row r="19160" ht="15" customHeight="1"/>
    <row r="19161" ht="15" customHeight="1"/>
    <row r="19162" ht="15" customHeight="1"/>
    <row r="19163" ht="15" customHeight="1"/>
    <row r="19164" ht="15" customHeight="1"/>
    <row r="19165" ht="15" customHeight="1"/>
    <row r="19166" ht="15" customHeight="1"/>
    <row r="19167" ht="15" customHeight="1"/>
    <row r="19168" ht="15" customHeight="1"/>
    <row r="19169" ht="15" customHeight="1"/>
    <row r="19170" ht="15" customHeight="1"/>
    <row r="19171" ht="15" customHeight="1"/>
    <row r="19172" ht="15" customHeight="1"/>
    <row r="19173" ht="15" customHeight="1"/>
    <row r="19174" ht="15" customHeight="1"/>
    <row r="19175" ht="15" customHeight="1"/>
    <row r="19176" ht="15" customHeight="1"/>
    <row r="19177" ht="15" customHeight="1"/>
    <row r="19178" ht="15" customHeight="1"/>
    <row r="19179" ht="15" customHeight="1"/>
    <row r="19180" ht="15" customHeight="1"/>
    <row r="19181" ht="15" customHeight="1"/>
    <row r="19182" ht="15" customHeight="1"/>
    <row r="19183" ht="15" customHeight="1"/>
    <row r="19184" ht="15" customHeight="1"/>
    <row r="19185" ht="15" customHeight="1"/>
    <row r="19186" ht="15" customHeight="1"/>
    <row r="19187" ht="15" customHeight="1"/>
    <row r="19188" ht="15" customHeight="1"/>
    <row r="19189" ht="15" customHeight="1"/>
    <row r="19190" ht="15" customHeight="1"/>
    <row r="19191" ht="15" customHeight="1"/>
    <row r="19192" ht="15" customHeight="1"/>
    <row r="19193" ht="15" customHeight="1"/>
    <row r="19194" ht="15" customHeight="1"/>
    <row r="19195" ht="15" customHeight="1"/>
    <row r="19196" ht="15" customHeight="1"/>
    <row r="19197" ht="15" customHeight="1"/>
    <row r="19198" ht="15" customHeight="1"/>
    <row r="19199" ht="15" customHeight="1"/>
    <row r="19200" ht="15" customHeight="1"/>
    <row r="19201" ht="15" customHeight="1"/>
    <row r="19202" ht="15" customHeight="1"/>
    <row r="19203" ht="15" customHeight="1"/>
    <row r="19204" ht="15" customHeight="1"/>
    <row r="19205" ht="15" customHeight="1"/>
    <row r="19206" ht="15" customHeight="1"/>
    <row r="19207" ht="15" customHeight="1"/>
    <row r="19208" ht="15" customHeight="1"/>
    <row r="19209" ht="15" customHeight="1"/>
    <row r="19210" ht="15" customHeight="1"/>
    <row r="19211" ht="15" customHeight="1"/>
    <row r="19212" ht="15" customHeight="1"/>
    <row r="19213" ht="15" customHeight="1"/>
    <row r="19214" ht="15" customHeight="1"/>
    <row r="19215" ht="15" customHeight="1"/>
    <row r="19216" ht="15" customHeight="1"/>
    <row r="19217" ht="15" customHeight="1"/>
    <row r="19218" ht="15" customHeight="1"/>
    <row r="19219" ht="15" customHeight="1"/>
    <row r="19220" ht="15" customHeight="1"/>
    <row r="19221" ht="15" customHeight="1"/>
    <row r="19222" ht="15" customHeight="1"/>
    <row r="19223" ht="15" customHeight="1"/>
    <row r="19224" ht="15" customHeight="1"/>
    <row r="19225" ht="15" customHeight="1"/>
    <row r="19226" ht="15" customHeight="1"/>
    <row r="19227" ht="15" customHeight="1"/>
    <row r="19228" ht="15" customHeight="1"/>
    <row r="19229" ht="15" customHeight="1"/>
    <row r="19230" ht="15" customHeight="1"/>
    <row r="19231" ht="15" customHeight="1"/>
    <row r="19232" ht="15" customHeight="1"/>
    <row r="19233" ht="15" customHeight="1"/>
    <row r="19234" ht="15" customHeight="1"/>
    <row r="19235" ht="15" customHeight="1"/>
    <row r="19236" ht="15" customHeight="1"/>
    <row r="19237" ht="15" customHeight="1"/>
    <row r="19238" ht="15" customHeight="1"/>
    <row r="19239" ht="15" customHeight="1"/>
    <row r="19240" ht="15" customHeight="1"/>
    <row r="19241" ht="15" customHeight="1"/>
    <row r="19242" ht="15" customHeight="1"/>
    <row r="19243" ht="15" customHeight="1"/>
    <row r="19244" ht="15" customHeight="1"/>
    <row r="19245" ht="15" customHeight="1"/>
    <row r="19246" ht="15" customHeight="1"/>
    <row r="19247" ht="15" customHeight="1"/>
    <row r="19248" ht="15" customHeight="1"/>
    <row r="19249" ht="15" customHeight="1"/>
    <row r="19250" ht="15" customHeight="1"/>
    <row r="19251" ht="15" customHeight="1"/>
    <row r="19252" ht="15" customHeight="1"/>
    <row r="19253" ht="15" customHeight="1"/>
    <row r="19254" ht="15" customHeight="1"/>
    <row r="19255" ht="15" customHeight="1"/>
    <row r="19256" ht="15" customHeight="1"/>
    <row r="19257" ht="15" customHeight="1"/>
    <row r="19258" ht="15" customHeight="1"/>
    <row r="19259" ht="15" customHeight="1"/>
    <row r="19260" ht="15" customHeight="1"/>
    <row r="19261" ht="15" customHeight="1"/>
    <row r="19262" ht="15" customHeight="1"/>
    <row r="19263" ht="15" customHeight="1"/>
    <row r="19264" ht="15" customHeight="1"/>
    <row r="19265" ht="15" customHeight="1"/>
    <row r="19266" ht="15" customHeight="1"/>
    <row r="19267" ht="15" customHeight="1"/>
    <row r="19268" ht="15" customHeight="1"/>
    <row r="19269" ht="15" customHeight="1"/>
    <row r="19270" ht="15" customHeight="1"/>
    <row r="19271" ht="15" customHeight="1"/>
    <row r="19272" ht="15" customHeight="1"/>
    <row r="19273" ht="15" customHeight="1"/>
    <row r="19274" ht="15" customHeight="1"/>
    <row r="19275" ht="15" customHeight="1"/>
    <row r="19276" ht="15" customHeight="1"/>
    <row r="19277" ht="15" customHeight="1"/>
    <row r="19278" ht="15" customHeight="1"/>
    <row r="19279" ht="15" customHeight="1"/>
    <row r="19280" ht="15" customHeight="1"/>
    <row r="19281" ht="15" customHeight="1"/>
    <row r="19282" ht="15" customHeight="1"/>
    <row r="19283" ht="15" customHeight="1"/>
    <row r="19284" ht="15" customHeight="1"/>
    <row r="19285" ht="15" customHeight="1"/>
    <row r="19286" ht="15" customHeight="1"/>
    <row r="19287" ht="15" customHeight="1"/>
    <row r="19288" ht="15" customHeight="1"/>
    <row r="19289" ht="15" customHeight="1"/>
    <row r="19290" ht="15" customHeight="1"/>
    <row r="19291" ht="15" customHeight="1"/>
    <row r="19292" ht="15" customHeight="1"/>
    <row r="19293" ht="15" customHeight="1"/>
    <row r="19294" ht="15" customHeight="1"/>
    <row r="19295" ht="15" customHeight="1"/>
    <row r="19296" ht="15" customHeight="1"/>
    <row r="19297" ht="15" customHeight="1"/>
    <row r="19298" ht="15" customHeight="1"/>
    <row r="19299" ht="15" customHeight="1"/>
    <row r="19300" ht="15" customHeight="1"/>
    <row r="19301" ht="15" customHeight="1"/>
    <row r="19302" ht="15" customHeight="1"/>
    <row r="19303" ht="15" customHeight="1"/>
    <row r="19304" ht="15" customHeight="1"/>
    <row r="19305" ht="15" customHeight="1"/>
    <row r="19306" ht="15" customHeight="1"/>
    <row r="19307" ht="15" customHeight="1"/>
    <row r="19308" ht="15" customHeight="1"/>
    <row r="19309" ht="15" customHeight="1"/>
    <row r="19310" ht="15" customHeight="1"/>
    <row r="19311" ht="15" customHeight="1"/>
    <row r="19312" ht="15" customHeight="1"/>
    <row r="19313" ht="15" customHeight="1"/>
    <row r="19314" ht="15" customHeight="1"/>
    <row r="19315" ht="15" customHeight="1"/>
    <row r="19316" ht="15" customHeight="1"/>
    <row r="19317" ht="15" customHeight="1"/>
    <row r="19318" ht="15" customHeight="1"/>
    <row r="19319" ht="15" customHeight="1"/>
    <row r="19320" ht="15" customHeight="1"/>
    <row r="19321" ht="15" customHeight="1"/>
    <row r="19322" ht="15" customHeight="1"/>
    <row r="19323" ht="15" customHeight="1"/>
    <row r="19324" ht="15" customHeight="1"/>
    <row r="19325" ht="15" customHeight="1"/>
    <row r="19326" ht="15" customHeight="1"/>
    <row r="19327" ht="15" customHeight="1"/>
    <row r="19328" ht="15" customHeight="1"/>
    <row r="19329" ht="15" customHeight="1"/>
    <row r="19330" ht="15" customHeight="1"/>
    <row r="19331" ht="15" customHeight="1"/>
    <row r="19332" ht="15" customHeight="1"/>
    <row r="19333" ht="15" customHeight="1"/>
    <row r="19334" ht="15" customHeight="1"/>
    <row r="19335" ht="15" customHeight="1"/>
    <row r="19336" ht="15" customHeight="1"/>
    <row r="19337" ht="15" customHeight="1"/>
    <row r="19338" ht="15" customHeight="1"/>
    <row r="19339" ht="15" customHeight="1"/>
    <row r="19340" ht="15" customHeight="1"/>
    <row r="19341" ht="15" customHeight="1"/>
    <row r="19342" ht="15" customHeight="1"/>
    <row r="19343" ht="15" customHeight="1"/>
    <row r="19344" ht="15" customHeight="1"/>
    <row r="19345" ht="15" customHeight="1"/>
    <row r="19346" ht="15" customHeight="1"/>
    <row r="19347" ht="15" customHeight="1"/>
    <row r="19348" ht="15" customHeight="1"/>
    <row r="19349" ht="15" customHeight="1"/>
    <row r="19350" ht="15" customHeight="1"/>
    <row r="19351" ht="15" customHeight="1"/>
    <row r="19352" ht="15" customHeight="1"/>
    <row r="19353" ht="15" customHeight="1"/>
    <row r="19354" ht="15" customHeight="1"/>
    <row r="19355" ht="15" customHeight="1"/>
    <row r="19356" ht="15" customHeight="1"/>
    <row r="19357" ht="15" customHeight="1"/>
    <row r="19358" ht="15" customHeight="1"/>
    <row r="19359" ht="15" customHeight="1"/>
    <row r="19360" ht="15" customHeight="1"/>
    <row r="19361" ht="15" customHeight="1"/>
    <row r="19362" ht="15" customHeight="1"/>
    <row r="19363" ht="15" customHeight="1"/>
    <row r="19364" ht="15" customHeight="1"/>
    <row r="19365" ht="15" customHeight="1"/>
    <row r="19366" ht="15" customHeight="1"/>
    <row r="19367" ht="15" customHeight="1"/>
    <row r="19368" ht="15" customHeight="1"/>
    <row r="19369" ht="15" customHeight="1"/>
    <row r="19370" ht="15" customHeight="1"/>
    <row r="19371" ht="15" customHeight="1"/>
    <row r="19372" ht="15" customHeight="1"/>
    <row r="19373" ht="15" customHeight="1"/>
    <row r="19374" ht="15" customHeight="1"/>
    <row r="19375" ht="15" customHeight="1"/>
    <row r="19376" ht="15" customHeight="1"/>
    <row r="19377" ht="15" customHeight="1"/>
    <row r="19378" ht="15" customHeight="1"/>
    <row r="19379" ht="15" customHeight="1"/>
    <row r="19380" ht="15" customHeight="1"/>
    <row r="19381" ht="15" customHeight="1"/>
    <row r="19382" ht="15" customHeight="1"/>
    <row r="19383" ht="15" customHeight="1"/>
    <row r="19384" ht="15" customHeight="1"/>
    <row r="19385" ht="15" customHeight="1"/>
    <row r="19386" ht="15" customHeight="1"/>
    <row r="19387" ht="15" customHeight="1"/>
    <row r="19388" ht="15" customHeight="1"/>
    <row r="19389" ht="15" customHeight="1"/>
    <row r="19390" ht="15" customHeight="1"/>
    <row r="19391" ht="15" customHeight="1"/>
    <row r="19392" ht="15" customHeight="1"/>
    <row r="19393" ht="15" customHeight="1"/>
    <row r="19394" ht="15" customHeight="1"/>
    <row r="19395" ht="15" customHeight="1"/>
    <row r="19396" ht="15" customHeight="1"/>
    <row r="19397" ht="15" customHeight="1"/>
    <row r="19398" ht="15" customHeight="1"/>
    <row r="19399" ht="15" customHeight="1"/>
    <row r="19400" ht="15" customHeight="1"/>
    <row r="19401" ht="15" customHeight="1"/>
    <row r="19402" ht="15" customHeight="1"/>
    <row r="19403" ht="15" customHeight="1"/>
    <row r="19404" ht="15" customHeight="1"/>
    <row r="19405" ht="15" customHeight="1"/>
    <row r="19406" ht="15" customHeight="1"/>
    <row r="19407" ht="15" customHeight="1"/>
    <row r="19408" ht="15" customHeight="1"/>
    <row r="19409" ht="15" customHeight="1"/>
    <row r="19410" ht="15" customHeight="1"/>
    <row r="19411" ht="15" customHeight="1"/>
    <row r="19412" ht="15" customHeight="1"/>
    <row r="19413" ht="15" customHeight="1"/>
    <row r="19414" ht="15" customHeight="1"/>
    <row r="19415" ht="15" customHeight="1"/>
    <row r="19416" ht="15" customHeight="1"/>
    <row r="19417" ht="15" customHeight="1"/>
    <row r="19418" ht="15" customHeight="1"/>
    <row r="19419" ht="15" customHeight="1"/>
    <row r="19420" ht="15" customHeight="1"/>
    <row r="19421" ht="15" customHeight="1"/>
    <row r="19422" ht="15" customHeight="1"/>
    <row r="19423" ht="15" customHeight="1"/>
    <row r="19424" ht="15" customHeight="1"/>
    <row r="19425" ht="15" customHeight="1"/>
    <row r="19426" ht="15" customHeight="1"/>
    <row r="19427" ht="15" customHeight="1"/>
    <row r="19428" ht="15" customHeight="1"/>
    <row r="19429" ht="15" customHeight="1"/>
    <row r="19430" ht="15" customHeight="1"/>
    <row r="19431" ht="15" customHeight="1"/>
    <row r="19432" ht="15" customHeight="1"/>
    <row r="19433" ht="15" customHeight="1"/>
    <row r="19434" ht="15" customHeight="1"/>
    <row r="19435" ht="15" customHeight="1"/>
    <row r="19436" ht="15" customHeight="1"/>
    <row r="19437" ht="15" customHeight="1"/>
    <row r="19438" ht="15" customHeight="1"/>
    <row r="19439" ht="15" customHeight="1"/>
    <row r="19440" ht="15" customHeight="1"/>
    <row r="19441" ht="15" customHeight="1"/>
    <row r="19442" ht="15" customHeight="1"/>
    <row r="19443" ht="15" customHeight="1"/>
    <row r="19444" ht="15" customHeight="1"/>
    <row r="19445" ht="15" customHeight="1"/>
    <row r="19446" ht="15" customHeight="1"/>
    <row r="19447" ht="15" customHeight="1"/>
    <row r="19448" ht="15" customHeight="1"/>
    <row r="19449" ht="15" customHeight="1"/>
    <row r="19450" ht="15" customHeight="1"/>
    <row r="19451" ht="15" customHeight="1"/>
    <row r="19452" ht="15" customHeight="1"/>
    <row r="19453" ht="15" customHeight="1"/>
    <row r="19454" ht="15" customHeight="1"/>
    <row r="19455" ht="15" customHeight="1"/>
    <row r="19456" ht="15" customHeight="1"/>
    <row r="19457" ht="15" customHeight="1"/>
    <row r="19458" ht="15" customHeight="1"/>
    <row r="19459" ht="15" customHeight="1"/>
    <row r="19460" ht="15" customHeight="1"/>
    <row r="19461" ht="15" customHeight="1"/>
    <row r="19462" ht="15" customHeight="1"/>
    <row r="19463" ht="15" customHeight="1"/>
    <row r="19464" ht="15" customHeight="1"/>
    <row r="19465" ht="15" customHeight="1"/>
    <row r="19466" ht="15" customHeight="1"/>
    <row r="19467" ht="15" customHeight="1"/>
    <row r="19468" ht="15" customHeight="1"/>
    <row r="19469" ht="15" customHeight="1"/>
    <row r="19470" ht="15" customHeight="1"/>
    <row r="19471" ht="15" customHeight="1"/>
    <row r="19472" ht="15" customHeight="1"/>
    <row r="19473" ht="15" customHeight="1"/>
    <row r="19474" ht="15" customHeight="1"/>
    <row r="19475" ht="15" customHeight="1"/>
    <row r="19476" ht="15" customHeight="1"/>
    <row r="19477" ht="15" customHeight="1"/>
    <row r="19478" ht="15" customHeight="1"/>
    <row r="19479" ht="15" customHeight="1"/>
    <row r="19480" ht="15" customHeight="1"/>
    <row r="19481" ht="15" customHeight="1"/>
    <row r="19482" ht="15" customHeight="1"/>
    <row r="19483" ht="15" customHeight="1"/>
    <row r="19484" ht="15" customHeight="1"/>
    <row r="19485" ht="15" customHeight="1"/>
    <row r="19486" ht="15" customHeight="1"/>
    <row r="19487" ht="15" customHeight="1"/>
    <row r="19488" ht="15" customHeight="1"/>
    <row r="19489" ht="15" customHeight="1"/>
    <row r="19490" ht="15" customHeight="1"/>
    <row r="19491" ht="15" customHeight="1"/>
    <row r="19492" ht="15" customHeight="1"/>
    <row r="19493" ht="15" customHeight="1"/>
    <row r="19494" ht="15" customHeight="1"/>
    <row r="19495" ht="15" customHeight="1"/>
    <row r="19496" ht="15" customHeight="1"/>
    <row r="19497" ht="15" customHeight="1"/>
    <row r="19498" ht="15" customHeight="1"/>
    <row r="19499" ht="15" customHeight="1"/>
    <row r="19500" ht="15" customHeight="1"/>
    <row r="19501" ht="15" customHeight="1"/>
    <row r="19502" ht="15" customHeight="1"/>
    <row r="19503" ht="15" customHeight="1"/>
    <row r="19504" ht="15" customHeight="1"/>
    <row r="19505" ht="15" customHeight="1"/>
    <row r="19506" ht="15" customHeight="1"/>
    <row r="19507" ht="15" customHeight="1"/>
    <row r="19508" ht="15" customHeight="1"/>
    <row r="19509" ht="15" customHeight="1"/>
    <row r="19510" ht="15" customHeight="1"/>
    <row r="19511" ht="15" customHeight="1"/>
    <row r="19512" ht="15" customHeight="1"/>
    <row r="19513" ht="15" customHeight="1"/>
    <row r="19514" ht="15" customHeight="1"/>
    <row r="19515" ht="15" customHeight="1"/>
    <row r="19516" ht="15" customHeight="1"/>
    <row r="19517" ht="15" customHeight="1"/>
    <row r="19518" ht="15" customHeight="1"/>
    <row r="19519" ht="15" customHeight="1"/>
    <row r="19520" ht="15" customHeight="1"/>
    <row r="19521" ht="15" customHeight="1"/>
    <row r="19522" ht="15" customHeight="1"/>
    <row r="19523" ht="15" customHeight="1"/>
    <row r="19524" ht="15" customHeight="1"/>
    <row r="19525" ht="15" customHeight="1"/>
    <row r="19526" ht="15" customHeight="1"/>
    <row r="19527" ht="15" customHeight="1"/>
    <row r="19528" ht="15" customHeight="1"/>
    <row r="19529" ht="15" customHeight="1"/>
    <row r="19530" ht="15" customHeight="1"/>
    <row r="19531" ht="15" customHeight="1"/>
    <row r="19532" ht="15" customHeight="1"/>
    <row r="19533" ht="15" customHeight="1"/>
    <row r="19534" ht="15" customHeight="1"/>
    <row r="19535" ht="15" customHeight="1"/>
    <row r="19536" ht="15" customHeight="1"/>
    <row r="19537" ht="15" customHeight="1"/>
    <row r="19538" ht="15" customHeight="1"/>
    <row r="19539" ht="15" customHeight="1"/>
    <row r="19540" ht="15" customHeight="1"/>
    <row r="19541" ht="15" customHeight="1"/>
    <row r="19542" ht="15" customHeight="1"/>
    <row r="19543" ht="15" customHeight="1"/>
    <row r="19544" ht="15" customHeight="1"/>
    <row r="19545" ht="15" customHeight="1"/>
    <row r="19546" ht="15" customHeight="1"/>
    <row r="19547" ht="15" customHeight="1"/>
    <row r="19548" ht="15" customHeight="1"/>
    <row r="19549" ht="15" customHeight="1"/>
    <row r="19550" ht="15" customHeight="1"/>
    <row r="19551" ht="15" customHeight="1"/>
    <row r="19552" ht="15" customHeight="1"/>
    <row r="19553" ht="15" customHeight="1"/>
    <row r="19554" ht="15" customHeight="1"/>
    <row r="19555" ht="15" customHeight="1"/>
    <row r="19556" ht="15" customHeight="1"/>
    <row r="19557" ht="15" customHeight="1"/>
    <row r="19558" ht="15" customHeight="1"/>
    <row r="19559" ht="15" customHeight="1"/>
    <row r="19560" ht="15" customHeight="1"/>
    <row r="19561" ht="15" customHeight="1"/>
    <row r="19562" ht="15" customHeight="1"/>
    <row r="19563" ht="15" customHeight="1"/>
    <row r="19564" ht="15" customHeight="1"/>
    <row r="19565" ht="15" customHeight="1"/>
    <row r="19566" ht="15" customHeight="1"/>
    <row r="19567" ht="15" customHeight="1"/>
    <row r="19568" ht="15" customHeight="1"/>
    <row r="19569" ht="15" customHeight="1"/>
    <row r="19570" ht="15" customHeight="1"/>
    <row r="19571" ht="15" customHeight="1"/>
    <row r="19572" ht="15" customHeight="1"/>
    <row r="19573" ht="15" customHeight="1"/>
    <row r="19574" ht="15" customHeight="1"/>
    <row r="19575" ht="15" customHeight="1"/>
    <row r="19576" ht="15" customHeight="1"/>
    <row r="19577" ht="15" customHeight="1"/>
    <row r="19578" ht="15" customHeight="1"/>
    <row r="19579" ht="15" customHeight="1"/>
    <row r="19580" ht="15" customHeight="1"/>
    <row r="19581" ht="15" customHeight="1"/>
    <row r="19582" ht="15" customHeight="1"/>
    <row r="19583" ht="15" customHeight="1"/>
    <row r="19584" ht="15" customHeight="1"/>
    <row r="19585" ht="15" customHeight="1"/>
    <row r="19586" ht="15" customHeight="1"/>
    <row r="19587" ht="15" customHeight="1"/>
    <row r="19588" ht="15" customHeight="1"/>
    <row r="19589" ht="15" customHeight="1"/>
    <row r="19590" ht="15" customHeight="1"/>
    <row r="19591" ht="15" customHeight="1"/>
    <row r="19592" ht="15" customHeight="1"/>
    <row r="19593" ht="15" customHeight="1"/>
    <row r="19594" ht="15" customHeight="1"/>
    <row r="19595" ht="15" customHeight="1"/>
    <row r="19596" ht="15" customHeight="1"/>
    <row r="19597" ht="15" customHeight="1"/>
    <row r="19598" ht="15" customHeight="1"/>
    <row r="19599" ht="15" customHeight="1"/>
    <row r="19600" ht="15" customHeight="1"/>
    <row r="19601" ht="15" customHeight="1"/>
    <row r="19602" ht="15" customHeight="1"/>
    <row r="19603" ht="15" customHeight="1"/>
    <row r="19604" ht="15" customHeight="1"/>
    <row r="19605" ht="15" customHeight="1"/>
    <row r="19606" ht="15" customHeight="1"/>
    <row r="19607" ht="15" customHeight="1"/>
    <row r="19608" ht="15" customHeight="1"/>
    <row r="19609" ht="15" customHeight="1"/>
    <row r="19610" ht="15" customHeight="1"/>
    <row r="19611" ht="15" customHeight="1"/>
    <row r="19612" ht="15" customHeight="1"/>
    <row r="19613" ht="15" customHeight="1"/>
    <row r="19614" ht="15" customHeight="1"/>
    <row r="19615" ht="15" customHeight="1"/>
    <row r="19616" ht="15" customHeight="1"/>
    <row r="19617" ht="15" customHeight="1"/>
    <row r="19618" ht="15" customHeight="1"/>
    <row r="19619" ht="15" customHeight="1"/>
    <row r="19620" ht="15" customHeight="1"/>
    <row r="19621" ht="15" customHeight="1"/>
    <row r="19622" ht="15" customHeight="1"/>
    <row r="19623" ht="15" customHeight="1"/>
    <row r="19624" ht="15" customHeight="1"/>
    <row r="19625" ht="15" customHeight="1"/>
    <row r="19626" ht="15" customHeight="1"/>
    <row r="19627" ht="15" customHeight="1"/>
    <row r="19628" ht="15" customHeight="1"/>
    <row r="19629" ht="15" customHeight="1"/>
    <row r="19630" ht="15" customHeight="1"/>
    <row r="19631" ht="15" customHeight="1"/>
    <row r="19632" ht="15" customHeight="1"/>
    <row r="19633" ht="15" customHeight="1"/>
    <row r="19634" ht="15" customHeight="1"/>
    <row r="19635" ht="15" customHeight="1"/>
    <row r="19636" ht="15" customHeight="1"/>
    <row r="19637" ht="15" customHeight="1"/>
    <row r="19638" ht="15" customHeight="1"/>
    <row r="19639" ht="15" customHeight="1"/>
    <row r="19640" ht="15" customHeight="1"/>
    <row r="19641" ht="15" customHeight="1"/>
    <row r="19642" ht="15" customHeight="1"/>
    <row r="19643" ht="15" customHeight="1"/>
    <row r="19644" ht="15" customHeight="1"/>
    <row r="19645" ht="15" customHeight="1"/>
    <row r="19646" ht="15" customHeight="1"/>
    <row r="19647" ht="15" customHeight="1"/>
    <row r="19648" ht="15" customHeight="1"/>
    <row r="19649" ht="15" customHeight="1"/>
    <row r="19650" ht="15" customHeight="1"/>
    <row r="19651" ht="15" customHeight="1"/>
    <row r="19652" ht="15" customHeight="1"/>
    <row r="19653" ht="15" customHeight="1"/>
    <row r="19654" ht="15" customHeight="1"/>
    <row r="19655" ht="15" customHeight="1"/>
    <row r="19656" ht="15" customHeight="1"/>
    <row r="19657" ht="15" customHeight="1"/>
    <row r="19658" ht="15" customHeight="1"/>
    <row r="19659" ht="15" customHeight="1"/>
    <row r="19660" ht="15" customHeight="1"/>
    <row r="19661" ht="15" customHeight="1"/>
    <row r="19662" ht="15" customHeight="1"/>
    <row r="19663" ht="15" customHeight="1"/>
    <row r="19664" ht="15" customHeight="1"/>
    <row r="19665" ht="15" customHeight="1"/>
    <row r="19666" ht="15" customHeight="1"/>
    <row r="19667" ht="15" customHeight="1"/>
    <row r="19668" ht="15" customHeight="1"/>
    <row r="19669" ht="15" customHeight="1"/>
    <row r="19670" ht="15" customHeight="1"/>
    <row r="19671" ht="15" customHeight="1"/>
    <row r="19672" ht="15" customHeight="1"/>
    <row r="19673" ht="15" customHeight="1"/>
    <row r="19674" ht="15" customHeight="1"/>
    <row r="19675" ht="15" customHeight="1"/>
    <row r="19676" ht="15" customHeight="1"/>
    <row r="19677" ht="15" customHeight="1"/>
    <row r="19678" ht="15" customHeight="1"/>
    <row r="19679" ht="15" customHeight="1"/>
    <row r="19680" ht="15" customHeight="1"/>
    <row r="19681" ht="15" customHeight="1"/>
    <row r="19682" ht="15" customHeight="1"/>
    <row r="19683" ht="15" customHeight="1"/>
    <row r="19684" ht="15" customHeight="1"/>
    <row r="19685" ht="15" customHeight="1"/>
    <row r="19686" ht="15" customHeight="1"/>
    <row r="19687" ht="15" customHeight="1"/>
    <row r="19688" ht="15" customHeight="1"/>
    <row r="19689" ht="15" customHeight="1"/>
    <row r="19690" ht="15" customHeight="1"/>
    <row r="19691" ht="15" customHeight="1"/>
    <row r="19692" ht="15" customHeight="1"/>
    <row r="19693" ht="15" customHeight="1"/>
    <row r="19694" ht="15" customHeight="1"/>
    <row r="19695" ht="15" customHeight="1"/>
    <row r="19696" ht="15" customHeight="1"/>
    <row r="19697" ht="15" customHeight="1"/>
    <row r="19698" ht="15" customHeight="1"/>
    <row r="19699" ht="15" customHeight="1"/>
    <row r="19700" ht="15" customHeight="1"/>
    <row r="19701" ht="15" customHeight="1"/>
    <row r="19702" ht="15" customHeight="1"/>
    <row r="19703" ht="15" customHeight="1"/>
    <row r="19704" ht="15" customHeight="1"/>
    <row r="19705" ht="15" customHeight="1"/>
    <row r="19706" ht="15" customHeight="1"/>
    <row r="19707" ht="15" customHeight="1"/>
    <row r="19708" ht="15" customHeight="1"/>
    <row r="19709" ht="15" customHeight="1"/>
    <row r="19710" ht="15" customHeight="1"/>
    <row r="19711" ht="15" customHeight="1"/>
    <row r="19712" ht="15" customHeight="1"/>
    <row r="19713" ht="15" customHeight="1"/>
    <row r="19714" ht="15" customHeight="1"/>
    <row r="19715" ht="15" customHeight="1"/>
    <row r="19716" ht="15" customHeight="1"/>
    <row r="19717" ht="15" customHeight="1"/>
    <row r="19718" ht="15" customHeight="1"/>
    <row r="19719" ht="15" customHeight="1"/>
    <row r="19720" ht="15" customHeight="1"/>
    <row r="19721" ht="15" customHeight="1"/>
    <row r="19722" ht="15" customHeight="1"/>
    <row r="19723" ht="15" customHeight="1"/>
    <row r="19724" ht="15" customHeight="1"/>
    <row r="19725" ht="15" customHeight="1"/>
    <row r="19726" ht="15" customHeight="1"/>
    <row r="19727" ht="15" customHeight="1"/>
    <row r="19728" ht="15" customHeight="1"/>
    <row r="19729" ht="15" customHeight="1"/>
    <row r="19730" ht="15" customHeight="1"/>
    <row r="19731" ht="15" customHeight="1"/>
    <row r="19732" ht="15" customHeight="1"/>
    <row r="19733" ht="15" customHeight="1"/>
    <row r="19734" ht="15" customHeight="1"/>
    <row r="19735" ht="15" customHeight="1"/>
    <row r="19736" ht="15" customHeight="1"/>
    <row r="19737" ht="15" customHeight="1"/>
    <row r="19738" ht="15" customHeight="1"/>
    <row r="19739" ht="15" customHeight="1"/>
    <row r="19740" ht="15" customHeight="1"/>
    <row r="19741" ht="15" customHeight="1"/>
    <row r="19742" ht="15" customHeight="1"/>
    <row r="19743" ht="15" customHeight="1"/>
    <row r="19744" ht="15" customHeight="1"/>
    <row r="19745" ht="15" customHeight="1"/>
    <row r="19746" ht="15" customHeight="1"/>
    <row r="19747" ht="15" customHeight="1"/>
    <row r="19748" ht="15" customHeight="1"/>
    <row r="19749" ht="15" customHeight="1"/>
    <row r="19750" ht="15" customHeight="1"/>
    <row r="19751" ht="15" customHeight="1"/>
    <row r="19752" ht="15" customHeight="1"/>
    <row r="19753" ht="15" customHeight="1"/>
    <row r="19754" ht="15" customHeight="1"/>
    <row r="19755" ht="15" customHeight="1"/>
    <row r="19756" ht="15" customHeight="1"/>
    <row r="19757" ht="15" customHeight="1"/>
    <row r="19758" ht="15" customHeight="1"/>
    <row r="19759" ht="15" customHeight="1"/>
    <row r="19760" ht="15" customHeight="1"/>
    <row r="19761" ht="15" customHeight="1"/>
    <row r="19762" ht="15" customHeight="1"/>
    <row r="19763" ht="15" customHeight="1"/>
    <row r="19764" ht="15" customHeight="1"/>
    <row r="19765" ht="15" customHeight="1"/>
    <row r="19766" ht="15" customHeight="1"/>
    <row r="19767" ht="15" customHeight="1"/>
    <row r="19768" ht="15" customHeight="1"/>
    <row r="19769" ht="15" customHeight="1"/>
    <row r="19770" ht="15" customHeight="1"/>
    <row r="19771" ht="15" customHeight="1"/>
    <row r="19772" ht="15" customHeight="1"/>
    <row r="19773" ht="15" customHeight="1"/>
    <row r="19774" ht="15" customHeight="1"/>
    <row r="19775" ht="15" customHeight="1"/>
    <row r="19776" ht="15" customHeight="1"/>
    <row r="19777" ht="15" customHeight="1"/>
    <row r="19778" ht="15" customHeight="1"/>
    <row r="19779" ht="15" customHeight="1"/>
    <row r="19780" ht="15" customHeight="1"/>
    <row r="19781" ht="15" customHeight="1"/>
    <row r="19782" ht="15" customHeight="1"/>
    <row r="19783" ht="15" customHeight="1"/>
    <row r="19784" ht="15" customHeight="1"/>
    <row r="19785" ht="15" customHeight="1"/>
    <row r="19786" ht="15" customHeight="1"/>
    <row r="19787" ht="15" customHeight="1"/>
    <row r="19788" ht="15" customHeight="1"/>
    <row r="19789" ht="15" customHeight="1"/>
    <row r="19790" ht="15" customHeight="1"/>
    <row r="19791" ht="15" customHeight="1"/>
    <row r="19792" ht="15" customHeight="1"/>
    <row r="19793" ht="15" customHeight="1"/>
    <row r="19794" ht="15" customHeight="1"/>
    <row r="19795" ht="15" customHeight="1"/>
    <row r="19796" ht="15" customHeight="1"/>
    <row r="19797" ht="15" customHeight="1"/>
    <row r="19798" ht="15" customHeight="1"/>
    <row r="19799" ht="15" customHeight="1"/>
    <row r="19800" ht="15" customHeight="1"/>
    <row r="19801" ht="15" customHeight="1"/>
    <row r="19802" ht="15" customHeight="1"/>
    <row r="19803" ht="15" customHeight="1"/>
    <row r="19804" ht="15" customHeight="1"/>
    <row r="19805" ht="15" customHeight="1"/>
    <row r="19806" ht="15" customHeight="1"/>
    <row r="19807" ht="15" customHeight="1"/>
    <row r="19808" ht="15" customHeight="1"/>
    <row r="19809" ht="15" customHeight="1"/>
    <row r="19810" ht="15" customHeight="1"/>
    <row r="19811" ht="15" customHeight="1"/>
    <row r="19812" ht="15" customHeight="1"/>
    <row r="19813" ht="15" customHeight="1"/>
    <row r="19814" ht="15" customHeight="1"/>
    <row r="19815" ht="15" customHeight="1"/>
    <row r="19816" ht="15" customHeight="1"/>
    <row r="19817" ht="15" customHeight="1"/>
    <row r="19818" ht="15" customHeight="1"/>
    <row r="19819" ht="15" customHeight="1"/>
    <row r="19820" ht="15" customHeight="1"/>
    <row r="19821" ht="15" customHeight="1"/>
    <row r="19822" ht="15" customHeight="1"/>
    <row r="19823" ht="15" customHeight="1"/>
    <row r="19824" ht="15" customHeight="1"/>
    <row r="19825" ht="15" customHeight="1"/>
    <row r="19826" ht="15" customHeight="1"/>
    <row r="19827" ht="15" customHeight="1"/>
    <row r="19828" ht="15" customHeight="1"/>
    <row r="19829" ht="15" customHeight="1"/>
    <row r="19830" ht="15" customHeight="1"/>
    <row r="19831" ht="15" customHeight="1"/>
    <row r="19832" ht="15" customHeight="1"/>
    <row r="19833" ht="15" customHeight="1"/>
    <row r="19834" ht="15" customHeight="1"/>
    <row r="19835" ht="15" customHeight="1"/>
    <row r="19836" ht="15" customHeight="1"/>
    <row r="19837" ht="15" customHeight="1"/>
    <row r="19838" ht="15" customHeight="1"/>
    <row r="19839" ht="15" customHeight="1"/>
    <row r="19840" ht="15" customHeight="1"/>
    <row r="19841" ht="15" customHeight="1"/>
    <row r="19842" ht="15" customHeight="1"/>
    <row r="19843" ht="15" customHeight="1"/>
    <row r="19844" ht="15" customHeight="1"/>
    <row r="19845" ht="15" customHeight="1"/>
    <row r="19846" ht="15" customHeight="1"/>
    <row r="19847" ht="15" customHeight="1"/>
    <row r="19848" ht="15" customHeight="1"/>
    <row r="19849" ht="15" customHeight="1"/>
    <row r="19850" ht="15" customHeight="1"/>
    <row r="19851" ht="15" customHeight="1"/>
    <row r="19852" ht="15" customHeight="1"/>
    <row r="19853" ht="15" customHeight="1"/>
    <row r="19854" ht="15" customHeight="1"/>
    <row r="19855" ht="15" customHeight="1"/>
    <row r="19856" ht="15" customHeight="1"/>
    <row r="19857" ht="15" customHeight="1"/>
    <row r="19858" ht="15" customHeight="1"/>
    <row r="19859" ht="15" customHeight="1"/>
    <row r="19860" ht="15" customHeight="1"/>
    <row r="19861" ht="15" customHeight="1"/>
    <row r="19862" ht="15" customHeight="1"/>
    <row r="19863" ht="15" customHeight="1"/>
    <row r="19864" ht="15" customHeight="1"/>
    <row r="19865" ht="15" customHeight="1"/>
    <row r="19866" ht="15" customHeight="1"/>
    <row r="19867" ht="15" customHeight="1"/>
    <row r="19868" ht="15" customHeight="1"/>
    <row r="19869" ht="15" customHeight="1"/>
    <row r="19870" ht="15" customHeight="1"/>
    <row r="19871" ht="15" customHeight="1"/>
    <row r="19872" ht="15" customHeight="1"/>
    <row r="19873" ht="15" customHeight="1"/>
    <row r="19874" ht="15" customHeight="1"/>
    <row r="19875" ht="15" customHeight="1"/>
    <row r="19876" ht="15" customHeight="1"/>
    <row r="19877" ht="15" customHeight="1"/>
    <row r="19878" ht="15" customHeight="1"/>
    <row r="19879" ht="15" customHeight="1"/>
    <row r="19880" ht="15" customHeight="1"/>
    <row r="19881" ht="15" customHeight="1"/>
    <row r="19882" ht="15" customHeight="1"/>
    <row r="19883" ht="15" customHeight="1"/>
    <row r="19884" ht="15" customHeight="1"/>
    <row r="19885" ht="15" customHeight="1"/>
    <row r="19886" ht="15" customHeight="1"/>
    <row r="19887" ht="15" customHeight="1"/>
    <row r="19888" ht="15" customHeight="1"/>
    <row r="19889" ht="15" customHeight="1"/>
    <row r="19890" ht="15" customHeight="1"/>
    <row r="19891" ht="15" customHeight="1"/>
    <row r="19892" ht="15" customHeight="1"/>
    <row r="19893" ht="15" customHeight="1"/>
    <row r="19894" ht="15" customHeight="1"/>
    <row r="19895" ht="15" customHeight="1"/>
    <row r="19896" ht="15" customHeight="1"/>
    <row r="19897" ht="15" customHeight="1"/>
    <row r="19898" ht="15" customHeight="1"/>
    <row r="19899" ht="15" customHeight="1"/>
    <row r="19900" ht="15" customHeight="1"/>
    <row r="19901" ht="15" customHeight="1"/>
    <row r="19902" ht="15" customHeight="1"/>
    <row r="19903" ht="15" customHeight="1"/>
    <row r="19904" ht="15" customHeight="1"/>
    <row r="19905" ht="15" customHeight="1"/>
    <row r="19906" ht="15" customHeight="1"/>
    <row r="19907" ht="15" customHeight="1"/>
    <row r="19908" ht="15" customHeight="1"/>
    <row r="19909" ht="15" customHeight="1"/>
    <row r="19910" ht="15" customHeight="1"/>
    <row r="19911" ht="15" customHeight="1"/>
    <row r="19912" ht="15" customHeight="1"/>
    <row r="19913" ht="15" customHeight="1"/>
    <row r="19914" ht="15" customHeight="1"/>
    <row r="19915" ht="15" customHeight="1"/>
    <row r="19916" ht="15" customHeight="1"/>
    <row r="19917" ht="15" customHeight="1"/>
    <row r="19918" ht="15" customHeight="1"/>
    <row r="19919" ht="15" customHeight="1"/>
    <row r="19920" ht="15" customHeight="1"/>
    <row r="19921" ht="15" customHeight="1"/>
    <row r="19922" ht="15" customHeight="1"/>
    <row r="19923" ht="15" customHeight="1"/>
    <row r="19924" ht="15" customHeight="1"/>
    <row r="19925" ht="15" customHeight="1"/>
    <row r="19926" ht="15" customHeight="1"/>
    <row r="19927" ht="15" customHeight="1"/>
    <row r="19928" ht="15" customHeight="1"/>
    <row r="19929" ht="15" customHeight="1"/>
    <row r="19930" ht="15" customHeight="1"/>
    <row r="19931" ht="15" customHeight="1"/>
    <row r="19932" ht="15" customHeight="1"/>
    <row r="19933" ht="15" customHeight="1"/>
    <row r="19934" ht="15" customHeight="1"/>
    <row r="19935" ht="15" customHeight="1"/>
    <row r="19936" ht="15" customHeight="1"/>
    <row r="19937" ht="15" customHeight="1"/>
    <row r="19938" ht="15" customHeight="1"/>
    <row r="19939" ht="15" customHeight="1"/>
    <row r="19940" ht="15" customHeight="1"/>
    <row r="19941" ht="15" customHeight="1"/>
    <row r="19942" ht="15" customHeight="1"/>
    <row r="19943" ht="15" customHeight="1"/>
    <row r="19944" ht="15" customHeight="1"/>
    <row r="19945" ht="15" customHeight="1"/>
    <row r="19946" ht="15" customHeight="1"/>
    <row r="19947" ht="15" customHeight="1"/>
    <row r="19948" ht="15" customHeight="1"/>
    <row r="19949" ht="15" customHeight="1"/>
    <row r="19950" ht="15" customHeight="1"/>
    <row r="19951" ht="15" customHeight="1"/>
    <row r="19952" ht="15" customHeight="1"/>
    <row r="19953" ht="15" customHeight="1"/>
    <row r="19954" ht="15" customHeight="1"/>
    <row r="19955" ht="15" customHeight="1"/>
    <row r="19956" ht="15" customHeight="1"/>
    <row r="19957" ht="15" customHeight="1"/>
    <row r="19958" ht="15" customHeight="1"/>
    <row r="19959" ht="15" customHeight="1"/>
    <row r="19960" ht="15" customHeight="1"/>
    <row r="19961" ht="15" customHeight="1"/>
    <row r="19962" ht="15" customHeight="1"/>
    <row r="19963" ht="15" customHeight="1"/>
    <row r="19964" ht="15" customHeight="1"/>
    <row r="19965" ht="15" customHeight="1"/>
    <row r="19966" ht="15" customHeight="1"/>
    <row r="19967" ht="15" customHeight="1"/>
    <row r="19968" ht="15" customHeight="1"/>
    <row r="19969" ht="15" customHeight="1"/>
    <row r="19970" ht="15" customHeight="1"/>
    <row r="19971" ht="15" customHeight="1"/>
    <row r="19972" ht="15" customHeight="1"/>
    <row r="19973" ht="15" customHeight="1"/>
    <row r="19974" ht="15" customHeight="1"/>
    <row r="19975" ht="15" customHeight="1"/>
    <row r="19976" ht="15" customHeight="1"/>
    <row r="19977" ht="15" customHeight="1"/>
    <row r="19978" ht="15" customHeight="1"/>
    <row r="19979" ht="15" customHeight="1"/>
    <row r="19980" ht="15" customHeight="1"/>
    <row r="19981" ht="15" customHeight="1"/>
    <row r="19982" ht="15" customHeight="1"/>
    <row r="19983" ht="15" customHeight="1"/>
    <row r="19984" ht="15" customHeight="1"/>
    <row r="19985" ht="15" customHeight="1"/>
    <row r="19986" ht="15" customHeight="1"/>
    <row r="19987" ht="15" customHeight="1"/>
    <row r="19988" ht="15" customHeight="1"/>
    <row r="19989" ht="15" customHeight="1"/>
    <row r="19990" ht="15" customHeight="1"/>
    <row r="19991" ht="15" customHeight="1"/>
    <row r="19992" ht="15" customHeight="1"/>
    <row r="19993" ht="15" customHeight="1"/>
    <row r="19994" ht="15" customHeight="1"/>
    <row r="19995" ht="15" customHeight="1"/>
    <row r="19996" ht="15" customHeight="1"/>
    <row r="19997" ht="15" customHeight="1"/>
    <row r="19998" ht="15" customHeight="1"/>
    <row r="19999" ht="15" customHeight="1"/>
    <row r="20000" ht="15" customHeight="1"/>
    <row r="20001" ht="15" customHeight="1"/>
    <row r="20002" ht="15" customHeight="1"/>
    <row r="20003" ht="15" customHeight="1"/>
    <row r="20004" ht="15" customHeight="1"/>
    <row r="20005" ht="15" customHeight="1"/>
    <row r="20006" ht="15" customHeight="1"/>
    <row r="20007" ht="15" customHeight="1"/>
    <row r="20008" ht="15" customHeight="1"/>
    <row r="20009" ht="15" customHeight="1"/>
    <row r="20010" ht="15" customHeight="1"/>
    <row r="20011" ht="15" customHeight="1"/>
    <row r="20012" ht="15" customHeight="1"/>
    <row r="20013" ht="15" customHeight="1"/>
    <row r="20014" ht="15" customHeight="1"/>
    <row r="20015" ht="15" customHeight="1"/>
    <row r="20016" ht="15" customHeight="1"/>
    <row r="20017" ht="15" customHeight="1"/>
    <row r="20018" ht="15" customHeight="1"/>
    <row r="20019" ht="15" customHeight="1"/>
    <row r="20020" ht="15" customHeight="1"/>
    <row r="20021" ht="15" customHeight="1"/>
    <row r="20022" ht="15" customHeight="1"/>
    <row r="20023" ht="15" customHeight="1"/>
    <row r="20024" ht="15" customHeight="1"/>
    <row r="20025" ht="15" customHeight="1"/>
    <row r="20026" ht="15" customHeight="1"/>
    <row r="20027" ht="15" customHeight="1"/>
    <row r="20028" ht="15" customHeight="1"/>
    <row r="20029" ht="15" customHeight="1"/>
    <row r="20030" ht="15" customHeight="1"/>
    <row r="20031" ht="15" customHeight="1"/>
    <row r="20032" ht="15" customHeight="1"/>
    <row r="20033" ht="15" customHeight="1"/>
    <row r="20034" ht="15" customHeight="1"/>
    <row r="20035" ht="15" customHeight="1"/>
    <row r="20036" ht="15" customHeight="1"/>
    <row r="20037" ht="15" customHeight="1"/>
    <row r="20038" ht="15" customHeight="1"/>
    <row r="20039" ht="15" customHeight="1"/>
    <row r="20040" ht="15" customHeight="1"/>
    <row r="20041" ht="15" customHeight="1"/>
    <row r="20042" ht="15" customHeight="1"/>
    <row r="20043" ht="15" customHeight="1"/>
    <row r="20044" ht="15" customHeight="1"/>
    <row r="20045" ht="15" customHeight="1"/>
    <row r="20046" ht="15" customHeight="1"/>
    <row r="20047" ht="15" customHeight="1"/>
    <row r="20048" ht="15" customHeight="1"/>
    <row r="20049" ht="15" customHeight="1"/>
    <row r="20050" ht="15" customHeight="1"/>
    <row r="20051" ht="15" customHeight="1"/>
    <row r="20052" ht="15" customHeight="1"/>
    <row r="20053" ht="15" customHeight="1"/>
    <row r="20054" ht="15" customHeight="1"/>
    <row r="20055" ht="15" customHeight="1"/>
    <row r="20056" ht="15" customHeight="1"/>
    <row r="20057" ht="15" customHeight="1"/>
    <row r="20058" ht="15" customHeight="1"/>
    <row r="20059" ht="15" customHeight="1"/>
    <row r="20060" ht="15" customHeight="1"/>
    <row r="20061" ht="15" customHeight="1"/>
    <row r="20062" ht="15" customHeight="1"/>
    <row r="20063" ht="15" customHeight="1"/>
    <row r="20064" ht="15" customHeight="1"/>
    <row r="20065" ht="15" customHeight="1"/>
    <row r="20066" ht="15" customHeight="1"/>
    <row r="20067" ht="15" customHeight="1"/>
    <row r="20068" ht="15" customHeight="1"/>
    <row r="20069" ht="15" customHeight="1"/>
    <row r="20070" ht="15" customHeight="1"/>
    <row r="20071" ht="15" customHeight="1"/>
    <row r="20072" ht="15" customHeight="1"/>
    <row r="20073" ht="15" customHeight="1"/>
    <row r="20074" ht="15" customHeight="1"/>
    <row r="20075" ht="15" customHeight="1"/>
    <row r="20076" ht="15" customHeight="1"/>
    <row r="20077" ht="15" customHeight="1"/>
    <row r="20078" ht="15" customHeight="1"/>
    <row r="20079" ht="15" customHeight="1"/>
    <row r="20080" ht="15" customHeight="1"/>
    <row r="20081" ht="15" customHeight="1"/>
    <row r="20082" ht="15" customHeight="1"/>
    <row r="20083" ht="15" customHeight="1"/>
    <row r="20084" ht="15" customHeight="1"/>
    <row r="20085" ht="15" customHeight="1"/>
    <row r="20086" ht="15" customHeight="1"/>
    <row r="20087" ht="15" customHeight="1"/>
    <row r="20088" ht="15" customHeight="1"/>
    <row r="20089" ht="15" customHeight="1"/>
    <row r="20090" ht="15" customHeight="1"/>
    <row r="20091" ht="15" customHeight="1"/>
    <row r="20092" ht="15" customHeight="1"/>
    <row r="20093" ht="15" customHeight="1"/>
    <row r="20094" ht="15" customHeight="1"/>
    <row r="20095" ht="15" customHeight="1"/>
    <row r="20096" ht="15" customHeight="1"/>
    <row r="20097" ht="15" customHeight="1"/>
    <row r="20098" ht="15" customHeight="1"/>
    <row r="20099" ht="15" customHeight="1"/>
    <row r="20100" ht="15" customHeight="1"/>
    <row r="20101" ht="15" customHeight="1"/>
    <row r="20102" ht="15" customHeight="1"/>
    <row r="20103" ht="15" customHeight="1"/>
    <row r="20104" ht="15" customHeight="1"/>
    <row r="20105" ht="15" customHeight="1"/>
    <row r="20106" ht="15" customHeight="1"/>
    <row r="20107" ht="15" customHeight="1"/>
    <row r="20108" ht="15" customHeight="1"/>
    <row r="20109" ht="15" customHeight="1"/>
    <row r="20110" ht="15" customHeight="1"/>
    <row r="20111" ht="15" customHeight="1"/>
    <row r="20112" ht="15" customHeight="1"/>
    <row r="20113" ht="15" customHeight="1"/>
    <row r="20114" ht="15" customHeight="1"/>
    <row r="20115" ht="15" customHeight="1"/>
    <row r="20116" ht="15" customHeight="1"/>
    <row r="20117" ht="15" customHeight="1"/>
    <row r="20118" ht="15" customHeight="1"/>
    <row r="20119" ht="15" customHeight="1"/>
    <row r="20120" ht="15" customHeight="1"/>
    <row r="20121" ht="15" customHeight="1"/>
    <row r="20122" ht="15" customHeight="1"/>
    <row r="20123" ht="15" customHeight="1"/>
    <row r="20124" ht="15" customHeight="1"/>
    <row r="20125" ht="15" customHeight="1"/>
    <row r="20126" ht="15" customHeight="1"/>
    <row r="20127" ht="15" customHeight="1"/>
    <row r="20128" ht="15" customHeight="1"/>
    <row r="20129" ht="15" customHeight="1"/>
    <row r="20130" ht="15" customHeight="1"/>
    <row r="20131" ht="15" customHeight="1"/>
    <row r="20132" ht="15" customHeight="1"/>
    <row r="20133" ht="15" customHeight="1"/>
    <row r="20134" ht="15" customHeight="1"/>
    <row r="20135" ht="15" customHeight="1"/>
    <row r="20136" ht="15" customHeight="1"/>
    <row r="20137" ht="15" customHeight="1"/>
    <row r="20138" ht="15" customHeight="1"/>
    <row r="20139" ht="15" customHeight="1"/>
    <row r="20140" ht="15" customHeight="1"/>
    <row r="20141" ht="15" customHeight="1"/>
    <row r="20142" ht="15" customHeight="1"/>
    <row r="20143" ht="15" customHeight="1"/>
    <row r="20144" ht="15" customHeight="1"/>
    <row r="20145" ht="15" customHeight="1"/>
    <row r="20146" ht="15" customHeight="1"/>
    <row r="20147" ht="15" customHeight="1"/>
    <row r="20148" ht="15" customHeight="1"/>
    <row r="20149" ht="15" customHeight="1"/>
    <row r="20150" ht="15" customHeight="1"/>
    <row r="20151" ht="15" customHeight="1"/>
    <row r="20152" ht="15" customHeight="1"/>
    <row r="20153" ht="15" customHeight="1"/>
    <row r="20154" ht="15" customHeight="1"/>
    <row r="20155" ht="15" customHeight="1"/>
    <row r="20156" ht="15" customHeight="1"/>
    <row r="20157" ht="15" customHeight="1"/>
    <row r="20158" ht="15" customHeight="1"/>
    <row r="20159" ht="15" customHeight="1"/>
    <row r="20160" ht="15" customHeight="1"/>
    <row r="20161" ht="15" customHeight="1"/>
    <row r="20162" ht="15" customHeight="1"/>
    <row r="20163" ht="15" customHeight="1"/>
    <row r="20164" ht="15" customHeight="1"/>
    <row r="20165" ht="15" customHeight="1"/>
    <row r="20166" ht="15" customHeight="1"/>
    <row r="20167" ht="15" customHeight="1"/>
    <row r="20168" ht="15" customHeight="1"/>
    <row r="20169" ht="15" customHeight="1"/>
    <row r="20170" ht="15" customHeight="1"/>
    <row r="20171" ht="15" customHeight="1"/>
    <row r="20172" ht="15" customHeight="1"/>
    <row r="20173" ht="15" customHeight="1"/>
    <row r="20174" ht="15" customHeight="1"/>
    <row r="20175" ht="15" customHeight="1"/>
    <row r="20176" ht="15" customHeight="1"/>
    <row r="20177" ht="15" customHeight="1"/>
    <row r="20178" ht="15" customHeight="1"/>
    <row r="20179" ht="15" customHeight="1"/>
    <row r="20180" ht="15" customHeight="1"/>
    <row r="20181" ht="15" customHeight="1"/>
    <row r="20182" ht="15" customHeight="1"/>
    <row r="20183" ht="15" customHeight="1"/>
    <row r="20184" ht="15" customHeight="1"/>
    <row r="20185" ht="15" customHeight="1"/>
    <row r="20186" ht="15" customHeight="1"/>
    <row r="20187" ht="15" customHeight="1"/>
    <row r="20188" ht="15" customHeight="1"/>
    <row r="20189" ht="15" customHeight="1"/>
    <row r="20190" ht="15" customHeight="1"/>
    <row r="20191" ht="15" customHeight="1"/>
    <row r="20192" ht="15" customHeight="1"/>
    <row r="20193" ht="15" customHeight="1"/>
    <row r="20194" ht="15" customHeight="1"/>
    <row r="20195" ht="15" customHeight="1"/>
    <row r="20196" ht="15" customHeight="1"/>
    <row r="20197" ht="15" customHeight="1"/>
    <row r="20198" ht="15" customHeight="1"/>
    <row r="20199" ht="15" customHeight="1"/>
    <row r="20200" ht="15" customHeight="1"/>
    <row r="20201" ht="15" customHeight="1"/>
    <row r="20202" ht="15" customHeight="1"/>
    <row r="20203" ht="15" customHeight="1"/>
    <row r="20204" ht="15" customHeight="1"/>
    <row r="20205" ht="15" customHeight="1"/>
    <row r="20206" ht="15" customHeight="1"/>
    <row r="20207" ht="15" customHeight="1"/>
    <row r="20208" ht="15" customHeight="1"/>
    <row r="20209" ht="15" customHeight="1"/>
    <row r="20210" ht="15" customHeight="1"/>
    <row r="20211" ht="15" customHeight="1"/>
    <row r="20212" ht="15" customHeight="1"/>
    <row r="20213" ht="15" customHeight="1"/>
    <row r="20214" ht="15" customHeight="1"/>
    <row r="20215" ht="15" customHeight="1"/>
    <row r="20216" ht="15" customHeight="1"/>
    <row r="20217" ht="15" customHeight="1"/>
    <row r="20218" ht="15" customHeight="1"/>
    <row r="20219" ht="15" customHeight="1"/>
    <row r="20220" ht="15" customHeight="1"/>
    <row r="20221" ht="15" customHeight="1"/>
    <row r="20222" ht="15" customHeight="1"/>
    <row r="20223" ht="15" customHeight="1"/>
    <row r="20224" ht="15" customHeight="1"/>
    <row r="20225" ht="15" customHeight="1"/>
    <row r="20226" ht="15" customHeight="1"/>
    <row r="20227" ht="15" customHeight="1"/>
    <row r="20228" ht="15" customHeight="1"/>
    <row r="20229" ht="15" customHeight="1"/>
    <row r="20230" ht="15" customHeight="1"/>
    <row r="20231" ht="15" customHeight="1"/>
    <row r="20232" ht="15" customHeight="1"/>
    <row r="20233" ht="15" customHeight="1"/>
    <row r="20234" ht="15" customHeight="1"/>
    <row r="20235" ht="15" customHeight="1"/>
    <row r="20236" ht="15" customHeight="1"/>
    <row r="20237" ht="15" customHeight="1"/>
    <row r="20238" ht="15" customHeight="1"/>
    <row r="20239" ht="15" customHeight="1"/>
    <row r="20240" ht="15" customHeight="1"/>
    <row r="20241" ht="15" customHeight="1"/>
    <row r="20242" ht="15" customHeight="1"/>
    <row r="20243" ht="15" customHeight="1"/>
    <row r="20244" ht="15" customHeight="1"/>
    <row r="20245" ht="15" customHeight="1"/>
    <row r="20246" ht="15" customHeight="1"/>
    <row r="20247" ht="15" customHeight="1"/>
    <row r="20248" ht="15" customHeight="1"/>
    <row r="20249" ht="15" customHeight="1"/>
    <row r="20250" ht="15" customHeight="1"/>
    <row r="20251" ht="15" customHeight="1"/>
    <row r="20252" ht="15" customHeight="1"/>
    <row r="20253" ht="15" customHeight="1"/>
    <row r="20254" ht="15" customHeight="1"/>
    <row r="20255" ht="15" customHeight="1"/>
    <row r="20256" ht="15" customHeight="1"/>
    <row r="20257" ht="15" customHeight="1"/>
    <row r="20258" ht="15" customHeight="1"/>
    <row r="20259" ht="15" customHeight="1"/>
    <row r="20260" ht="15" customHeight="1"/>
    <row r="20261" ht="15" customHeight="1"/>
    <row r="20262" ht="15" customHeight="1"/>
    <row r="20263" ht="15" customHeight="1"/>
    <row r="20264" ht="15" customHeight="1"/>
    <row r="20265" ht="15" customHeight="1"/>
    <row r="20266" ht="15" customHeight="1"/>
    <row r="20267" ht="15" customHeight="1"/>
    <row r="20268" ht="15" customHeight="1"/>
    <row r="20269" ht="15" customHeight="1"/>
    <row r="20270" ht="15" customHeight="1"/>
    <row r="20271" ht="15" customHeight="1"/>
    <row r="20272" ht="15" customHeight="1"/>
    <row r="20273" ht="15" customHeight="1"/>
    <row r="20274" ht="15" customHeight="1"/>
    <row r="20275" ht="15" customHeight="1"/>
    <row r="20276" ht="15" customHeight="1"/>
    <row r="20277" ht="15" customHeight="1"/>
    <row r="20278" ht="15" customHeight="1"/>
    <row r="20279" ht="15" customHeight="1"/>
    <row r="20280" ht="15" customHeight="1"/>
    <row r="20281" ht="15" customHeight="1"/>
    <row r="20282" ht="15" customHeight="1"/>
    <row r="20283" ht="15" customHeight="1"/>
    <row r="20284" ht="15" customHeight="1"/>
    <row r="20285" ht="15" customHeight="1"/>
    <row r="20286" ht="15" customHeight="1"/>
    <row r="20287" ht="15" customHeight="1"/>
    <row r="20288" ht="15" customHeight="1"/>
    <row r="20289" ht="15" customHeight="1"/>
    <row r="20290" ht="15" customHeight="1"/>
    <row r="20291" ht="15" customHeight="1"/>
    <row r="20292" ht="15" customHeight="1"/>
    <row r="20293" ht="15" customHeight="1"/>
    <row r="20294" ht="15" customHeight="1"/>
    <row r="20295" ht="15" customHeight="1"/>
    <row r="20296" ht="15" customHeight="1"/>
    <row r="20297" ht="15" customHeight="1"/>
    <row r="20298" ht="15" customHeight="1"/>
    <row r="20299" ht="15" customHeight="1"/>
    <row r="20300" ht="15" customHeight="1"/>
    <row r="20301" ht="15" customHeight="1"/>
    <row r="20302" ht="15" customHeight="1"/>
    <row r="20303" ht="15" customHeight="1"/>
    <row r="20304" ht="15" customHeight="1"/>
    <row r="20305" ht="15" customHeight="1"/>
    <row r="20306" ht="15" customHeight="1"/>
    <row r="20307" ht="15" customHeight="1"/>
    <row r="20308" ht="15" customHeight="1"/>
    <row r="20309" ht="15" customHeight="1"/>
    <row r="20310" ht="15" customHeight="1"/>
    <row r="20311" ht="15" customHeight="1"/>
    <row r="20312" ht="15" customHeight="1"/>
    <row r="20313" ht="15" customHeight="1"/>
    <row r="20314" ht="15" customHeight="1"/>
    <row r="20315" ht="15" customHeight="1"/>
    <row r="20316" ht="15" customHeight="1"/>
    <row r="20317" ht="15" customHeight="1"/>
    <row r="20318" ht="15" customHeight="1"/>
    <row r="20319" ht="15" customHeight="1"/>
    <row r="20320" ht="15" customHeight="1"/>
    <row r="20321" ht="15" customHeight="1"/>
    <row r="20322" ht="15" customHeight="1"/>
    <row r="20323" ht="15" customHeight="1"/>
    <row r="20324" ht="15" customHeight="1"/>
    <row r="20325" ht="15" customHeight="1"/>
    <row r="20326" ht="15" customHeight="1"/>
    <row r="20327" ht="15" customHeight="1"/>
    <row r="20328" ht="15" customHeight="1"/>
    <row r="20329" ht="15" customHeight="1"/>
    <row r="20330" ht="15" customHeight="1"/>
    <row r="20331" ht="15" customHeight="1"/>
    <row r="20332" ht="15" customHeight="1"/>
    <row r="20333" ht="15" customHeight="1"/>
    <row r="20334" ht="15" customHeight="1"/>
    <row r="20335" ht="15" customHeight="1"/>
    <row r="20336" ht="15" customHeight="1"/>
    <row r="20337" ht="15" customHeight="1"/>
    <row r="20338" ht="15" customHeight="1"/>
    <row r="20339" ht="15" customHeight="1"/>
    <row r="20340" ht="15" customHeight="1"/>
    <row r="20341" ht="15" customHeight="1"/>
    <row r="20342" ht="15" customHeight="1"/>
    <row r="20343" ht="15" customHeight="1"/>
    <row r="20344" ht="15" customHeight="1"/>
    <row r="20345" ht="15" customHeight="1"/>
    <row r="20346" ht="15" customHeight="1"/>
    <row r="20347" ht="15" customHeight="1"/>
    <row r="20348" ht="15" customHeight="1"/>
    <row r="20349" ht="15" customHeight="1"/>
    <row r="20350" ht="15" customHeight="1"/>
    <row r="20351" ht="15" customHeight="1"/>
    <row r="20352" ht="15" customHeight="1"/>
    <row r="20353" ht="15" customHeight="1"/>
    <row r="20354" ht="15" customHeight="1"/>
    <row r="20355" ht="15" customHeight="1"/>
    <row r="20356" ht="15" customHeight="1"/>
    <row r="20357" ht="15" customHeight="1"/>
    <row r="20358" ht="15" customHeight="1"/>
    <row r="20359" ht="15" customHeight="1"/>
    <row r="20360" ht="15" customHeight="1"/>
    <row r="20361" ht="15" customHeight="1"/>
    <row r="20362" ht="15" customHeight="1"/>
    <row r="20363" ht="15" customHeight="1"/>
    <row r="20364" ht="15" customHeight="1"/>
    <row r="20365" ht="15" customHeight="1"/>
    <row r="20366" ht="15" customHeight="1"/>
    <row r="20367" ht="15" customHeight="1"/>
    <row r="20368" ht="15" customHeight="1"/>
    <row r="20369" ht="15" customHeight="1"/>
    <row r="20370" ht="15" customHeight="1"/>
    <row r="20371" ht="15" customHeight="1"/>
    <row r="20372" ht="15" customHeight="1"/>
    <row r="20373" ht="15" customHeight="1"/>
    <row r="20374" ht="15" customHeight="1"/>
    <row r="20375" ht="15" customHeight="1"/>
    <row r="20376" ht="15" customHeight="1"/>
    <row r="20377" ht="15" customHeight="1"/>
    <row r="20378" ht="15" customHeight="1"/>
    <row r="20379" ht="15" customHeight="1"/>
    <row r="20380" ht="15" customHeight="1"/>
    <row r="20381" ht="15" customHeight="1"/>
    <row r="20382" ht="15" customHeight="1"/>
    <row r="20383" ht="15" customHeight="1"/>
    <row r="20384" ht="15" customHeight="1"/>
    <row r="20385" ht="15" customHeight="1"/>
    <row r="20386" ht="15" customHeight="1"/>
    <row r="20387" ht="15" customHeight="1"/>
    <row r="20388" ht="15" customHeight="1"/>
    <row r="20389" ht="15" customHeight="1"/>
    <row r="20390" ht="15" customHeight="1"/>
    <row r="20391" ht="15" customHeight="1"/>
    <row r="20392" ht="15" customHeight="1"/>
    <row r="20393" ht="15" customHeight="1"/>
    <row r="20394" ht="15" customHeight="1"/>
    <row r="20395" ht="15" customHeight="1"/>
    <row r="20396" ht="15" customHeight="1"/>
    <row r="20397" ht="15" customHeight="1"/>
    <row r="20398" ht="15" customHeight="1"/>
    <row r="20399" ht="15" customHeight="1"/>
    <row r="20400" ht="15" customHeight="1"/>
    <row r="20401" ht="15" customHeight="1"/>
    <row r="20402" ht="15" customHeight="1"/>
    <row r="20403" ht="15" customHeight="1"/>
    <row r="20404" ht="15" customHeight="1"/>
    <row r="20405" ht="15" customHeight="1"/>
    <row r="20406" ht="15" customHeight="1"/>
    <row r="20407" ht="15" customHeight="1"/>
    <row r="20408" ht="15" customHeight="1"/>
    <row r="20409" ht="15" customHeight="1"/>
    <row r="20410" ht="15" customHeight="1"/>
    <row r="20411" ht="15" customHeight="1"/>
    <row r="20412" ht="15" customHeight="1"/>
    <row r="20413" ht="15" customHeight="1"/>
    <row r="20414" ht="15" customHeight="1"/>
    <row r="20415" ht="15" customHeight="1"/>
    <row r="20416" ht="15" customHeight="1"/>
    <row r="20417" ht="15" customHeight="1"/>
    <row r="20418" ht="15" customHeight="1"/>
    <row r="20419" ht="15" customHeight="1"/>
    <row r="20420" ht="15" customHeight="1"/>
    <row r="20421" ht="15" customHeight="1"/>
    <row r="20422" ht="15" customHeight="1"/>
    <row r="20423" ht="15" customHeight="1"/>
    <row r="20424" ht="15" customHeight="1"/>
    <row r="20425" ht="15" customHeight="1"/>
    <row r="20426" ht="15" customHeight="1"/>
    <row r="20427" ht="15" customHeight="1"/>
    <row r="20428" ht="15" customHeight="1"/>
    <row r="20429" ht="15" customHeight="1"/>
    <row r="20430" ht="15" customHeight="1"/>
    <row r="20431" ht="15" customHeight="1"/>
    <row r="20432" ht="15" customHeight="1"/>
    <row r="20433" ht="15" customHeight="1"/>
    <row r="20434" ht="15" customHeight="1"/>
    <row r="20435" ht="15" customHeight="1"/>
    <row r="20436" ht="15" customHeight="1"/>
    <row r="20437" ht="15" customHeight="1"/>
    <row r="20438" ht="15" customHeight="1"/>
    <row r="20439" ht="15" customHeight="1"/>
    <row r="20440" ht="15" customHeight="1"/>
    <row r="20441" ht="15" customHeight="1"/>
    <row r="20442" ht="15" customHeight="1"/>
    <row r="20443" ht="15" customHeight="1"/>
    <row r="20444" ht="15" customHeight="1"/>
    <row r="20445" ht="15" customHeight="1"/>
    <row r="20446" ht="15" customHeight="1"/>
    <row r="20447" ht="15" customHeight="1"/>
    <row r="20448" ht="15" customHeight="1"/>
    <row r="20449" ht="15" customHeight="1"/>
    <row r="20450" ht="15" customHeight="1"/>
    <row r="20451" ht="15" customHeight="1"/>
    <row r="20452" ht="15" customHeight="1"/>
    <row r="20453" ht="15" customHeight="1"/>
    <row r="20454" ht="15" customHeight="1"/>
    <row r="20455" ht="15" customHeight="1"/>
    <row r="20456" ht="15" customHeight="1"/>
    <row r="20457" ht="15" customHeight="1"/>
    <row r="20458" ht="15" customHeight="1"/>
    <row r="20459" ht="15" customHeight="1"/>
    <row r="20460" ht="15" customHeight="1"/>
    <row r="20461" ht="15" customHeight="1"/>
    <row r="20462" ht="15" customHeight="1"/>
    <row r="20463" ht="15" customHeight="1"/>
    <row r="20464" ht="15" customHeight="1"/>
    <row r="20465" ht="15" customHeight="1"/>
    <row r="20466" ht="15" customHeight="1"/>
    <row r="20467" ht="15" customHeight="1"/>
    <row r="20468" ht="15" customHeight="1"/>
    <row r="20469" ht="15" customHeight="1"/>
    <row r="20470" ht="15" customHeight="1"/>
    <row r="20471" ht="15" customHeight="1"/>
    <row r="20472" ht="15" customHeight="1"/>
    <row r="20473" ht="15" customHeight="1"/>
    <row r="20474" ht="15" customHeight="1"/>
    <row r="20475" ht="15" customHeight="1"/>
    <row r="20476" ht="15" customHeight="1"/>
    <row r="20477" ht="15" customHeight="1"/>
    <row r="20478" ht="15" customHeight="1"/>
    <row r="20479" ht="15" customHeight="1"/>
    <row r="20480" ht="15" customHeight="1"/>
    <row r="20481" ht="15" customHeight="1"/>
    <row r="20482" ht="15" customHeight="1"/>
    <row r="20483" ht="15" customHeight="1"/>
    <row r="20484" ht="15" customHeight="1"/>
    <row r="20485" ht="15" customHeight="1"/>
    <row r="20486" ht="15" customHeight="1"/>
    <row r="20487" ht="15" customHeight="1"/>
    <row r="20488" ht="15" customHeight="1"/>
    <row r="20489" ht="15" customHeight="1"/>
    <row r="20490" ht="15" customHeight="1"/>
    <row r="20491" ht="15" customHeight="1"/>
    <row r="20492" ht="15" customHeight="1"/>
    <row r="20493" ht="15" customHeight="1"/>
    <row r="20494" ht="15" customHeight="1"/>
    <row r="20495" ht="15" customHeight="1"/>
    <row r="20496" ht="15" customHeight="1"/>
    <row r="20497" ht="15" customHeight="1"/>
    <row r="20498" ht="15" customHeight="1"/>
    <row r="20499" ht="15" customHeight="1"/>
    <row r="20500" ht="15" customHeight="1"/>
    <row r="20501" ht="15" customHeight="1"/>
    <row r="20502" ht="15" customHeight="1"/>
    <row r="20503" ht="15" customHeight="1"/>
    <row r="20504" ht="15" customHeight="1"/>
    <row r="20505" ht="15" customHeight="1"/>
    <row r="20506" ht="15" customHeight="1"/>
    <row r="20507" ht="15" customHeight="1"/>
    <row r="20508" ht="15" customHeight="1"/>
    <row r="20509" ht="15" customHeight="1"/>
    <row r="20510" ht="15" customHeight="1"/>
    <row r="20511" ht="15" customHeight="1"/>
    <row r="20512" ht="15" customHeight="1"/>
    <row r="20513" ht="15" customHeight="1"/>
    <row r="20514" ht="15" customHeight="1"/>
    <row r="20515" ht="15" customHeight="1"/>
    <row r="20516" ht="15" customHeight="1"/>
    <row r="20517" ht="15" customHeight="1"/>
    <row r="20518" ht="15" customHeight="1"/>
    <row r="20519" ht="15" customHeight="1"/>
    <row r="20520" ht="15" customHeight="1"/>
    <row r="20521" ht="15" customHeight="1"/>
    <row r="20522" ht="15" customHeight="1"/>
    <row r="20523" ht="15" customHeight="1"/>
    <row r="20524" ht="15" customHeight="1"/>
    <row r="20525" ht="15" customHeight="1"/>
    <row r="20526" ht="15" customHeight="1"/>
    <row r="20527" ht="15" customHeight="1"/>
    <row r="20528" ht="15" customHeight="1"/>
    <row r="20529" ht="15" customHeight="1"/>
    <row r="20530" ht="15" customHeight="1"/>
    <row r="20531" ht="15" customHeight="1"/>
    <row r="20532" ht="15" customHeight="1"/>
    <row r="20533" ht="15" customHeight="1"/>
    <row r="20534" ht="15" customHeight="1"/>
    <row r="20535" ht="15" customHeight="1"/>
    <row r="20536" ht="15" customHeight="1"/>
    <row r="20537" ht="15" customHeight="1"/>
    <row r="20538" ht="15" customHeight="1"/>
    <row r="20539" ht="15" customHeight="1"/>
    <row r="20540" ht="15" customHeight="1"/>
    <row r="20541" ht="15" customHeight="1"/>
    <row r="20542" ht="15" customHeight="1"/>
    <row r="20543" ht="15" customHeight="1"/>
    <row r="20544" ht="15" customHeight="1"/>
    <row r="20545" ht="15" customHeight="1"/>
    <row r="20546" ht="15" customHeight="1"/>
    <row r="20547" ht="15" customHeight="1"/>
    <row r="20548" ht="15" customHeight="1"/>
    <row r="20549" ht="15" customHeight="1"/>
    <row r="20550" ht="15" customHeight="1"/>
    <row r="20551" ht="15" customHeight="1"/>
    <row r="20552" ht="15" customHeight="1"/>
    <row r="20553" ht="15" customHeight="1"/>
    <row r="20554" ht="15" customHeight="1"/>
    <row r="20555" ht="15" customHeight="1"/>
    <row r="20556" ht="15" customHeight="1"/>
    <row r="20557" ht="15" customHeight="1"/>
    <row r="20558" ht="15" customHeight="1"/>
    <row r="20559" ht="15" customHeight="1"/>
    <row r="20560" ht="15" customHeight="1"/>
    <row r="20561" ht="15" customHeight="1"/>
    <row r="20562" ht="15" customHeight="1"/>
    <row r="20563" ht="15" customHeight="1"/>
    <row r="20564" ht="15" customHeight="1"/>
    <row r="20565" ht="15" customHeight="1"/>
    <row r="20566" ht="15" customHeight="1"/>
    <row r="20567" ht="15" customHeight="1"/>
    <row r="20568" ht="15" customHeight="1"/>
    <row r="20569" ht="15" customHeight="1"/>
    <row r="20570" ht="15" customHeight="1"/>
    <row r="20571" ht="15" customHeight="1"/>
    <row r="20572" ht="15" customHeight="1"/>
    <row r="20573" ht="15" customHeight="1"/>
    <row r="20574" ht="15" customHeight="1"/>
    <row r="20575" ht="15" customHeight="1"/>
    <row r="20576" ht="15" customHeight="1"/>
    <row r="20577" ht="15" customHeight="1"/>
    <row r="20578" ht="15" customHeight="1"/>
    <row r="20579" ht="15" customHeight="1"/>
    <row r="20580" ht="15" customHeight="1"/>
    <row r="20581" ht="15" customHeight="1"/>
    <row r="20582" ht="15" customHeight="1"/>
    <row r="20583" ht="15" customHeight="1"/>
    <row r="20584" ht="15" customHeight="1"/>
    <row r="20585" ht="15" customHeight="1"/>
    <row r="20586" ht="15" customHeight="1"/>
    <row r="20587" ht="15" customHeight="1"/>
    <row r="20588" ht="15" customHeight="1"/>
    <row r="20589" ht="15" customHeight="1"/>
    <row r="20590" ht="15" customHeight="1"/>
    <row r="20591" ht="15" customHeight="1"/>
    <row r="20592" ht="15" customHeight="1"/>
    <row r="20593" ht="15" customHeight="1"/>
    <row r="20594" ht="15" customHeight="1"/>
    <row r="20595" ht="15" customHeight="1"/>
    <row r="20596" ht="15" customHeight="1"/>
    <row r="20597" ht="15" customHeight="1"/>
    <row r="20598" ht="15" customHeight="1"/>
    <row r="20599" ht="15" customHeight="1"/>
    <row r="20600" ht="15" customHeight="1"/>
    <row r="20601" ht="15" customHeight="1"/>
    <row r="20602" ht="15" customHeight="1"/>
    <row r="20603" ht="15" customHeight="1"/>
    <row r="20604" ht="15" customHeight="1"/>
    <row r="20605" ht="15" customHeight="1"/>
    <row r="20606" ht="15" customHeight="1"/>
    <row r="20607" ht="15" customHeight="1"/>
    <row r="20608" ht="15" customHeight="1"/>
    <row r="20609" ht="15" customHeight="1"/>
    <row r="20610" ht="15" customHeight="1"/>
    <row r="20611" ht="15" customHeight="1"/>
    <row r="20612" ht="15" customHeight="1"/>
    <row r="20613" ht="15" customHeight="1"/>
    <row r="20614" ht="15" customHeight="1"/>
    <row r="20615" ht="15" customHeight="1"/>
    <row r="20616" ht="15" customHeight="1"/>
    <row r="20617" ht="15" customHeight="1"/>
    <row r="20618" ht="15" customHeight="1"/>
    <row r="20619" ht="15" customHeight="1"/>
    <row r="20620" ht="15" customHeight="1"/>
    <row r="20621" ht="15" customHeight="1"/>
    <row r="20622" ht="15" customHeight="1"/>
    <row r="20623" ht="15" customHeight="1"/>
    <row r="20624" ht="15" customHeight="1"/>
    <row r="20625" ht="15" customHeight="1"/>
    <row r="20626" ht="15" customHeight="1"/>
    <row r="20627" ht="15" customHeight="1"/>
    <row r="20628" ht="15" customHeight="1"/>
    <row r="20629" ht="15" customHeight="1"/>
    <row r="20630" ht="15" customHeight="1"/>
    <row r="20631" ht="15" customHeight="1"/>
    <row r="20632" ht="15" customHeight="1"/>
    <row r="20633" ht="15" customHeight="1"/>
    <row r="20634" ht="15" customHeight="1"/>
    <row r="20635" ht="15" customHeight="1"/>
    <row r="20636" ht="15" customHeight="1"/>
    <row r="20637" ht="15" customHeight="1"/>
    <row r="20638" ht="15" customHeight="1"/>
    <row r="20639" ht="15" customHeight="1"/>
    <row r="20640" ht="15" customHeight="1"/>
    <row r="20641" ht="15" customHeight="1"/>
    <row r="20642" ht="15" customHeight="1"/>
    <row r="20643" ht="15" customHeight="1"/>
    <row r="20644" ht="15" customHeight="1"/>
    <row r="20645" ht="15" customHeight="1"/>
    <row r="20646" ht="15" customHeight="1"/>
    <row r="20647" ht="15" customHeight="1"/>
    <row r="20648" ht="15" customHeight="1"/>
    <row r="20649" ht="15" customHeight="1"/>
    <row r="20650" ht="15" customHeight="1"/>
    <row r="20651" ht="15" customHeight="1"/>
    <row r="20652" ht="15" customHeight="1"/>
    <row r="20653" ht="15" customHeight="1"/>
    <row r="20654" ht="15" customHeight="1"/>
    <row r="20655" ht="15" customHeight="1"/>
    <row r="20656" ht="15" customHeight="1"/>
    <row r="20657" ht="15" customHeight="1"/>
    <row r="20658" ht="15" customHeight="1"/>
    <row r="20659" ht="15" customHeight="1"/>
    <row r="20660" ht="15" customHeight="1"/>
    <row r="20661" ht="15" customHeight="1"/>
    <row r="20662" ht="15" customHeight="1"/>
    <row r="20663" ht="15" customHeight="1"/>
    <row r="20664" ht="15" customHeight="1"/>
    <row r="20665" ht="15" customHeight="1"/>
    <row r="20666" ht="15" customHeight="1"/>
    <row r="20667" ht="15" customHeight="1"/>
    <row r="20668" ht="15" customHeight="1"/>
    <row r="20669" ht="15" customHeight="1"/>
    <row r="20670" ht="15" customHeight="1"/>
    <row r="20671" ht="15" customHeight="1"/>
    <row r="20672" ht="15" customHeight="1"/>
    <row r="20673" ht="15" customHeight="1"/>
    <row r="20674" ht="15" customHeight="1"/>
    <row r="20675" ht="15" customHeight="1"/>
    <row r="20676" ht="15" customHeight="1"/>
    <row r="20677" ht="15" customHeight="1"/>
    <row r="20678" ht="15" customHeight="1"/>
    <row r="20679" ht="15" customHeight="1"/>
    <row r="20680" ht="15" customHeight="1"/>
    <row r="20681" ht="15" customHeight="1"/>
    <row r="20682" ht="15" customHeight="1"/>
    <row r="20683" ht="15" customHeight="1"/>
    <row r="20684" ht="15" customHeight="1"/>
    <row r="20685" ht="15" customHeight="1"/>
    <row r="20686" ht="15" customHeight="1"/>
    <row r="20687" ht="15" customHeight="1"/>
    <row r="20688" ht="15" customHeight="1"/>
    <row r="20689" ht="15" customHeight="1"/>
    <row r="20690" ht="15" customHeight="1"/>
    <row r="20691" ht="15" customHeight="1"/>
    <row r="20692" ht="15" customHeight="1"/>
    <row r="20693" ht="15" customHeight="1"/>
    <row r="20694" ht="15" customHeight="1"/>
    <row r="20695" ht="15" customHeight="1"/>
    <row r="20696" ht="15" customHeight="1"/>
    <row r="20697" ht="15" customHeight="1"/>
    <row r="20698" ht="15" customHeight="1"/>
    <row r="20699" ht="15" customHeight="1"/>
    <row r="20700" ht="15" customHeight="1"/>
    <row r="20701" ht="15" customHeight="1"/>
    <row r="20702" ht="15" customHeight="1"/>
    <row r="20703" ht="15" customHeight="1"/>
    <row r="20704" ht="15" customHeight="1"/>
    <row r="20705" ht="15" customHeight="1"/>
    <row r="20706" ht="15" customHeight="1"/>
    <row r="20707" ht="15" customHeight="1"/>
    <row r="20708" ht="15" customHeight="1"/>
    <row r="20709" ht="15" customHeight="1"/>
    <row r="20710" ht="15" customHeight="1"/>
    <row r="20711" ht="15" customHeight="1"/>
    <row r="20712" ht="15" customHeight="1"/>
    <row r="20713" ht="15" customHeight="1"/>
    <row r="20714" ht="15" customHeight="1"/>
    <row r="20715" ht="15" customHeight="1"/>
    <row r="20716" ht="15" customHeight="1"/>
    <row r="20717" ht="15" customHeight="1"/>
    <row r="20718" ht="15" customHeight="1"/>
    <row r="20719" ht="15" customHeight="1"/>
    <row r="20720" ht="15" customHeight="1"/>
    <row r="20721" ht="15" customHeight="1"/>
    <row r="20722" ht="15" customHeight="1"/>
    <row r="20723" ht="15" customHeight="1"/>
    <row r="20724" ht="15" customHeight="1"/>
    <row r="20725" ht="15" customHeight="1"/>
    <row r="20726" ht="15" customHeight="1"/>
    <row r="20727" ht="15" customHeight="1"/>
    <row r="20728" ht="15" customHeight="1"/>
    <row r="20729" ht="15" customHeight="1"/>
    <row r="20730" ht="15" customHeight="1"/>
    <row r="20731" ht="15" customHeight="1"/>
    <row r="20732" ht="15" customHeight="1"/>
    <row r="20733" ht="15" customHeight="1"/>
    <row r="20734" ht="15" customHeight="1"/>
    <row r="20735" ht="15" customHeight="1"/>
    <row r="20736" ht="15" customHeight="1"/>
    <row r="20737" ht="15" customHeight="1"/>
    <row r="20738" ht="15" customHeight="1"/>
    <row r="20739" ht="15" customHeight="1"/>
    <row r="20740" ht="15" customHeight="1"/>
    <row r="20741" ht="15" customHeight="1"/>
    <row r="20742" ht="15" customHeight="1"/>
    <row r="20743" ht="15" customHeight="1"/>
    <row r="20744" ht="15" customHeight="1"/>
    <row r="20745" ht="15" customHeight="1"/>
    <row r="20746" ht="15" customHeight="1"/>
    <row r="20747" ht="15" customHeight="1"/>
    <row r="20748" ht="15" customHeight="1"/>
    <row r="20749" ht="15" customHeight="1"/>
    <row r="20750" ht="15" customHeight="1"/>
    <row r="20751" ht="15" customHeight="1"/>
    <row r="20752" ht="15" customHeight="1"/>
    <row r="20753" ht="15" customHeight="1"/>
    <row r="20754" ht="15" customHeight="1"/>
    <row r="20755" ht="15" customHeight="1"/>
    <row r="20756" ht="15" customHeight="1"/>
    <row r="20757" ht="15" customHeight="1"/>
    <row r="20758" ht="15" customHeight="1"/>
    <row r="20759" ht="15" customHeight="1"/>
    <row r="20760" ht="15" customHeight="1"/>
    <row r="20761" ht="15" customHeight="1"/>
    <row r="20762" ht="15" customHeight="1"/>
    <row r="20763" ht="15" customHeight="1"/>
    <row r="20764" ht="15" customHeight="1"/>
    <row r="20765" ht="15" customHeight="1"/>
    <row r="20766" ht="15" customHeight="1"/>
    <row r="20767" ht="15" customHeight="1"/>
    <row r="20768" ht="15" customHeight="1"/>
    <row r="20769" ht="15" customHeight="1"/>
    <row r="20770" ht="15" customHeight="1"/>
    <row r="20771" ht="15" customHeight="1"/>
    <row r="20772" ht="15" customHeight="1"/>
    <row r="20773" ht="15" customHeight="1"/>
    <row r="20774" ht="15" customHeight="1"/>
    <row r="20775" ht="15" customHeight="1"/>
    <row r="20776" ht="15" customHeight="1"/>
    <row r="20777" ht="15" customHeight="1"/>
    <row r="20778" ht="15" customHeight="1"/>
    <row r="20779" ht="15" customHeight="1"/>
    <row r="20780" ht="15" customHeight="1"/>
    <row r="20781" ht="15" customHeight="1"/>
    <row r="20782" ht="15" customHeight="1"/>
    <row r="20783" ht="15" customHeight="1"/>
    <row r="20784" ht="15" customHeight="1"/>
    <row r="20785" ht="15" customHeight="1"/>
    <row r="20786" ht="15" customHeight="1"/>
    <row r="20787" ht="15" customHeight="1"/>
    <row r="20788" ht="15" customHeight="1"/>
    <row r="20789" ht="15" customHeight="1"/>
    <row r="20790" ht="15" customHeight="1"/>
    <row r="20791" ht="15" customHeight="1"/>
    <row r="20792" ht="15" customHeight="1"/>
    <row r="20793" ht="15" customHeight="1"/>
    <row r="20794" ht="15" customHeight="1"/>
    <row r="20795" ht="15" customHeight="1"/>
    <row r="20796" ht="15" customHeight="1"/>
    <row r="20797" ht="15" customHeight="1"/>
    <row r="20798" ht="15" customHeight="1"/>
    <row r="20799" ht="15" customHeight="1"/>
    <row r="20800" ht="15" customHeight="1"/>
    <row r="20801" ht="15" customHeight="1"/>
    <row r="20802" ht="15" customHeight="1"/>
    <row r="20803" ht="15" customHeight="1"/>
    <row r="20804" ht="15" customHeight="1"/>
    <row r="20805" ht="15" customHeight="1"/>
    <row r="20806" ht="15" customHeight="1"/>
    <row r="20807" ht="15" customHeight="1"/>
    <row r="20808" ht="15" customHeight="1"/>
    <row r="20809" ht="15" customHeight="1"/>
    <row r="20810" ht="15" customHeight="1"/>
    <row r="20811" ht="15" customHeight="1"/>
    <row r="20812" ht="15" customHeight="1"/>
    <row r="20813" ht="15" customHeight="1"/>
    <row r="20814" ht="15" customHeight="1"/>
    <row r="20815" ht="15" customHeight="1"/>
    <row r="20816" ht="15" customHeight="1"/>
    <row r="20817" ht="15" customHeight="1"/>
    <row r="20818" ht="15" customHeight="1"/>
    <row r="20819" ht="15" customHeight="1"/>
    <row r="20820" ht="15" customHeight="1"/>
    <row r="20821" ht="15" customHeight="1"/>
    <row r="20822" ht="15" customHeight="1"/>
    <row r="20823" ht="15" customHeight="1"/>
    <row r="20824" ht="15" customHeight="1"/>
    <row r="20825" ht="15" customHeight="1"/>
    <row r="20826" ht="15" customHeight="1"/>
    <row r="20827" ht="15" customHeight="1"/>
    <row r="20828" ht="15" customHeight="1"/>
    <row r="20829" ht="15" customHeight="1"/>
    <row r="20830" ht="15" customHeight="1"/>
    <row r="20831" ht="15" customHeight="1"/>
    <row r="20832" ht="15" customHeight="1"/>
    <row r="20833" ht="15" customHeight="1"/>
    <row r="20834" ht="15" customHeight="1"/>
    <row r="20835" ht="15" customHeight="1"/>
    <row r="20836" ht="15" customHeight="1"/>
    <row r="20837" ht="15" customHeight="1"/>
    <row r="20838" ht="15" customHeight="1"/>
    <row r="20839" ht="15" customHeight="1"/>
    <row r="20840" ht="15" customHeight="1"/>
    <row r="20841" ht="15" customHeight="1"/>
    <row r="20842" ht="15" customHeight="1"/>
    <row r="20843" ht="15" customHeight="1"/>
    <row r="20844" ht="15" customHeight="1"/>
    <row r="20845" ht="15" customHeight="1"/>
    <row r="20846" ht="15" customHeight="1"/>
    <row r="20847" ht="15" customHeight="1"/>
    <row r="20848" ht="15" customHeight="1"/>
    <row r="20849" ht="15" customHeight="1"/>
    <row r="20850" ht="15" customHeight="1"/>
    <row r="20851" ht="15" customHeight="1"/>
    <row r="20852" ht="15" customHeight="1"/>
    <row r="20853" ht="15" customHeight="1"/>
    <row r="20854" ht="15" customHeight="1"/>
    <row r="20855" ht="15" customHeight="1"/>
    <row r="20856" ht="15" customHeight="1"/>
    <row r="20857" ht="15" customHeight="1"/>
    <row r="20858" ht="15" customHeight="1"/>
    <row r="20859" ht="15" customHeight="1"/>
    <row r="20860" ht="15" customHeight="1"/>
    <row r="20861" ht="15" customHeight="1"/>
    <row r="20862" ht="15" customHeight="1"/>
    <row r="20863" ht="15" customHeight="1"/>
    <row r="20864" ht="15" customHeight="1"/>
    <row r="20865" ht="15" customHeight="1"/>
    <row r="20866" ht="15" customHeight="1"/>
    <row r="20867" ht="15" customHeight="1"/>
    <row r="20868" ht="15" customHeight="1"/>
    <row r="20869" ht="15" customHeight="1"/>
    <row r="20870" ht="15" customHeight="1"/>
    <row r="20871" ht="15" customHeight="1"/>
    <row r="20872" ht="15" customHeight="1"/>
    <row r="20873" ht="15" customHeight="1"/>
    <row r="20874" ht="15" customHeight="1"/>
    <row r="20875" ht="15" customHeight="1"/>
    <row r="20876" ht="15" customHeight="1"/>
    <row r="20877" ht="15" customHeight="1"/>
    <row r="20878" ht="15" customHeight="1"/>
    <row r="20879" ht="15" customHeight="1"/>
    <row r="20880" ht="15" customHeight="1"/>
    <row r="20881" ht="15" customHeight="1"/>
    <row r="20882" ht="15" customHeight="1"/>
    <row r="20883" ht="15" customHeight="1"/>
    <row r="20884" ht="15" customHeight="1"/>
    <row r="20885" ht="15" customHeight="1"/>
    <row r="20886" ht="15" customHeight="1"/>
    <row r="20887" ht="15" customHeight="1"/>
    <row r="20888" ht="15" customHeight="1"/>
    <row r="20889" ht="15" customHeight="1"/>
    <row r="20890" ht="15" customHeight="1"/>
    <row r="20891" ht="15" customHeight="1"/>
    <row r="20892" ht="15" customHeight="1"/>
    <row r="20893" ht="15" customHeight="1"/>
    <row r="20894" ht="15" customHeight="1"/>
    <row r="20895" ht="15" customHeight="1"/>
    <row r="20896" ht="15" customHeight="1"/>
    <row r="20897" ht="15" customHeight="1"/>
    <row r="20898" ht="15" customHeight="1"/>
    <row r="20899" ht="15" customHeight="1"/>
    <row r="20900" ht="15" customHeight="1"/>
    <row r="20901" ht="15" customHeight="1"/>
    <row r="20902" ht="15" customHeight="1"/>
    <row r="20903" ht="15" customHeight="1"/>
    <row r="20904" ht="15" customHeight="1"/>
    <row r="20905" ht="15" customHeight="1"/>
    <row r="20906" ht="15" customHeight="1"/>
    <row r="20907" ht="15" customHeight="1"/>
    <row r="20908" ht="15" customHeight="1"/>
    <row r="20909" ht="15" customHeight="1"/>
    <row r="20910" ht="15" customHeight="1"/>
    <row r="20911" ht="15" customHeight="1"/>
    <row r="20912" ht="15" customHeight="1"/>
    <row r="20913" ht="15" customHeight="1"/>
    <row r="20914" ht="15" customHeight="1"/>
    <row r="20915" ht="15" customHeight="1"/>
    <row r="20916" ht="15" customHeight="1"/>
    <row r="20917" ht="15" customHeight="1"/>
    <row r="20918" ht="15" customHeight="1"/>
    <row r="20919" ht="15" customHeight="1"/>
    <row r="20920" ht="15" customHeight="1"/>
    <row r="20921" ht="15" customHeight="1"/>
    <row r="20922" ht="15" customHeight="1"/>
    <row r="20923" ht="15" customHeight="1"/>
    <row r="20924" ht="15" customHeight="1"/>
    <row r="20925" ht="15" customHeight="1"/>
    <row r="20926" ht="15" customHeight="1"/>
    <row r="20927" ht="15" customHeight="1"/>
    <row r="20928" ht="15" customHeight="1"/>
    <row r="20929" ht="15" customHeight="1"/>
    <row r="20930" ht="15" customHeight="1"/>
    <row r="20931" ht="15" customHeight="1"/>
    <row r="20932" ht="15" customHeight="1"/>
    <row r="20933" ht="15" customHeight="1"/>
    <row r="20934" ht="15" customHeight="1"/>
    <row r="20935" ht="15" customHeight="1"/>
    <row r="20936" ht="15" customHeight="1"/>
    <row r="20937" ht="15" customHeight="1"/>
    <row r="20938" ht="15" customHeight="1"/>
    <row r="20939" ht="15" customHeight="1"/>
    <row r="20940" ht="15" customHeight="1"/>
    <row r="20941" ht="15" customHeight="1"/>
    <row r="20942" ht="15" customHeight="1"/>
    <row r="20943" ht="15" customHeight="1"/>
    <row r="20944" ht="15" customHeight="1"/>
    <row r="20945" ht="15" customHeight="1"/>
    <row r="20946" ht="15" customHeight="1"/>
    <row r="20947" ht="15" customHeight="1"/>
    <row r="20948" ht="15" customHeight="1"/>
    <row r="20949" ht="15" customHeight="1"/>
    <row r="20950" ht="15" customHeight="1"/>
    <row r="20951" ht="15" customHeight="1"/>
    <row r="20952" ht="15" customHeight="1"/>
    <row r="20953" ht="15" customHeight="1"/>
    <row r="20954" ht="15" customHeight="1"/>
    <row r="20955" ht="15" customHeight="1"/>
    <row r="20956" ht="15" customHeight="1"/>
    <row r="20957" ht="15" customHeight="1"/>
    <row r="20958" ht="15" customHeight="1"/>
    <row r="20959" ht="15" customHeight="1"/>
    <row r="20960" ht="15" customHeight="1"/>
    <row r="20961" ht="15" customHeight="1"/>
    <row r="20962" ht="15" customHeight="1"/>
    <row r="20963" ht="15" customHeight="1"/>
    <row r="20964" ht="15" customHeight="1"/>
    <row r="20965" ht="15" customHeight="1"/>
    <row r="20966" ht="15" customHeight="1"/>
    <row r="20967" ht="15" customHeight="1"/>
    <row r="20968" ht="15" customHeight="1"/>
    <row r="20969" ht="15" customHeight="1"/>
    <row r="20970" ht="15" customHeight="1"/>
    <row r="20971" ht="15" customHeight="1"/>
    <row r="20972" ht="15" customHeight="1"/>
    <row r="20973" ht="15" customHeight="1"/>
    <row r="20974" ht="15" customHeight="1"/>
    <row r="20975" ht="15" customHeight="1"/>
    <row r="20976" ht="15" customHeight="1"/>
    <row r="20977" ht="15" customHeight="1"/>
    <row r="20978" ht="15" customHeight="1"/>
    <row r="20979" ht="15" customHeight="1"/>
    <row r="20980" ht="15" customHeight="1"/>
    <row r="20981" ht="15" customHeight="1"/>
    <row r="20982" ht="15" customHeight="1"/>
    <row r="20983" ht="15" customHeight="1"/>
    <row r="20984" ht="15" customHeight="1"/>
    <row r="20985" ht="15" customHeight="1"/>
    <row r="20986" ht="15" customHeight="1"/>
    <row r="20987" ht="15" customHeight="1"/>
    <row r="20988" ht="15" customHeight="1"/>
    <row r="20989" ht="15" customHeight="1"/>
    <row r="20990" ht="15" customHeight="1"/>
    <row r="20991" ht="15" customHeight="1"/>
    <row r="20992" ht="15" customHeight="1"/>
    <row r="20993" ht="15" customHeight="1"/>
    <row r="20994" ht="15" customHeight="1"/>
    <row r="20995" ht="15" customHeight="1"/>
    <row r="20996" ht="15" customHeight="1"/>
    <row r="20997" ht="15" customHeight="1"/>
    <row r="20998" ht="15" customHeight="1"/>
    <row r="20999" ht="15" customHeight="1"/>
    <row r="21000" ht="15" customHeight="1"/>
    <row r="21001" ht="15" customHeight="1"/>
    <row r="21002" ht="15" customHeight="1"/>
    <row r="21003" ht="15" customHeight="1"/>
    <row r="21004" ht="15" customHeight="1"/>
    <row r="21005" ht="15" customHeight="1"/>
    <row r="21006" ht="15" customHeight="1"/>
    <row r="21007" ht="15" customHeight="1"/>
    <row r="21008" ht="15" customHeight="1"/>
    <row r="21009" ht="15" customHeight="1"/>
    <row r="21010" ht="15" customHeight="1"/>
    <row r="21011" ht="15" customHeight="1"/>
    <row r="21012" ht="15" customHeight="1"/>
    <row r="21013" ht="15" customHeight="1"/>
    <row r="21014" ht="15" customHeight="1"/>
    <row r="21015" ht="15" customHeight="1"/>
    <row r="21016" ht="15" customHeight="1"/>
    <row r="21017" ht="15" customHeight="1"/>
    <row r="21018" ht="15" customHeight="1"/>
    <row r="21019" ht="15" customHeight="1"/>
    <row r="21020" ht="15" customHeight="1"/>
    <row r="21021" ht="15" customHeight="1"/>
    <row r="21022" ht="15" customHeight="1"/>
    <row r="21023" ht="15" customHeight="1"/>
    <row r="21024" ht="15" customHeight="1"/>
    <row r="21025" ht="15" customHeight="1"/>
    <row r="21026" ht="15" customHeight="1"/>
    <row r="21027" ht="15" customHeight="1"/>
    <row r="21028" ht="15" customHeight="1"/>
    <row r="21029" ht="15" customHeight="1"/>
    <row r="21030" ht="15" customHeight="1"/>
    <row r="21031" ht="15" customHeight="1"/>
    <row r="21032" ht="15" customHeight="1"/>
    <row r="21033" ht="15" customHeight="1"/>
    <row r="21034" ht="15" customHeight="1"/>
    <row r="21035" ht="15" customHeight="1"/>
    <row r="21036" ht="15" customHeight="1"/>
    <row r="21037" ht="15" customHeight="1"/>
    <row r="21038" ht="15" customHeight="1"/>
    <row r="21039" ht="15" customHeight="1"/>
    <row r="21040" ht="15" customHeight="1"/>
    <row r="21041" ht="15" customHeight="1"/>
    <row r="21042" ht="15" customHeight="1"/>
    <row r="21043" ht="15" customHeight="1"/>
    <row r="21044" ht="15" customHeight="1"/>
    <row r="21045" ht="15" customHeight="1"/>
    <row r="21046" ht="15" customHeight="1"/>
    <row r="21047" ht="15" customHeight="1"/>
    <row r="21048" ht="15" customHeight="1"/>
    <row r="21049" ht="15" customHeight="1"/>
    <row r="21050" ht="15" customHeight="1"/>
    <row r="21051" ht="15" customHeight="1"/>
    <row r="21052" ht="15" customHeight="1"/>
    <row r="21053" ht="15" customHeight="1"/>
    <row r="21054" ht="15" customHeight="1"/>
    <row r="21055" ht="15" customHeight="1"/>
    <row r="21056" ht="15" customHeight="1"/>
    <row r="21057" ht="15" customHeight="1"/>
    <row r="21058" ht="15" customHeight="1"/>
    <row r="21059" ht="15" customHeight="1"/>
    <row r="21060" ht="15" customHeight="1"/>
    <row r="21061" ht="15" customHeight="1"/>
    <row r="21062" ht="15" customHeight="1"/>
    <row r="21063" ht="15" customHeight="1"/>
    <row r="21064" ht="15" customHeight="1"/>
    <row r="21065" ht="15" customHeight="1"/>
    <row r="21066" ht="15" customHeight="1"/>
    <row r="21067" ht="15" customHeight="1"/>
    <row r="21068" ht="15" customHeight="1"/>
    <row r="21069" ht="15" customHeight="1"/>
    <row r="21070" ht="15" customHeight="1"/>
    <row r="21071" ht="15" customHeight="1"/>
    <row r="21072" ht="15" customHeight="1"/>
    <row r="21073" ht="15" customHeight="1"/>
    <row r="21074" ht="15" customHeight="1"/>
    <row r="21075" ht="15" customHeight="1"/>
    <row r="21076" ht="15" customHeight="1"/>
    <row r="21077" ht="15" customHeight="1"/>
    <row r="21078" ht="15" customHeight="1"/>
    <row r="21079" ht="15" customHeight="1"/>
    <row r="21080" ht="15" customHeight="1"/>
    <row r="21081" ht="15" customHeight="1"/>
    <row r="21082" ht="15" customHeight="1"/>
    <row r="21083" ht="15" customHeight="1"/>
    <row r="21084" ht="15" customHeight="1"/>
    <row r="21085" ht="15" customHeight="1"/>
    <row r="21086" ht="15" customHeight="1"/>
    <row r="21087" ht="15" customHeight="1"/>
    <row r="21088" ht="15" customHeight="1"/>
    <row r="21089" ht="15" customHeight="1"/>
    <row r="21090" ht="15" customHeight="1"/>
    <row r="21091" ht="15" customHeight="1"/>
    <row r="21092" ht="15" customHeight="1"/>
    <row r="21093" ht="15" customHeight="1"/>
    <row r="21094" ht="15" customHeight="1"/>
    <row r="21095" ht="15" customHeight="1"/>
    <row r="21096" ht="15" customHeight="1"/>
    <row r="21097" ht="15" customHeight="1"/>
    <row r="21098" ht="15" customHeight="1"/>
    <row r="21099" ht="15" customHeight="1"/>
    <row r="21100" ht="15" customHeight="1"/>
    <row r="21101" ht="15" customHeight="1"/>
    <row r="21102" ht="15" customHeight="1"/>
    <row r="21103" ht="15" customHeight="1"/>
    <row r="21104" ht="15" customHeight="1"/>
    <row r="21105" ht="15" customHeight="1"/>
    <row r="21106" ht="15" customHeight="1"/>
    <row r="21107" ht="15" customHeight="1"/>
    <row r="21108" ht="15" customHeight="1"/>
    <row r="21109" ht="15" customHeight="1"/>
    <row r="21110" ht="15" customHeight="1"/>
    <row r="21111" ht="15" customHeight="1"/>
    <row r="21112" ht="15" customHeight="1"/>
    <row r="21113" ht="15" customHeight="1"/>
    <row r="21114" ht="15" customHeight="1"/>
    <row r="21115" ht="15" customHeight="1"/>
    <row r="21116" ht="15" customHeight="1"/>
    <row r="21117" ht="15" customHeight="1"/>
    <row r="21118" ht="15" customHeight="1"/>
    <row r="21119" ht="15" customHeight="1"/>
    <row r="21120" ht="15" customHeight="1"/>
    <row r="21121" ht="15" customHeight="1"/>
    <row r="21122" ht="15" customHeight="1"/>
    <row r="21123" ht="15" customHeight="1"/>
    <row r="21124" ht="15" customHeight="1"/>
    <row r="21125" ht="15" customHeight="1"/>
    <row r="21126" ht="15" customHeight="1"/>
    <row r="21127" ht="15" customHeight="1"/>
    <row r="21128" ht="15" customHeight="1"/>
    <row r="21129" ht="15" customHeight="1"/>
    <row r="21130" ht="15" customHeight="1"/>
    <row r="21131" ht="15" customHeight="1"/>
    <row r="21132" ht="15" customHeight="1"/>
    <row r="21133" ht="15" customHeight="1"/>
    <row r="21134" ht="15" customHeight="1"/>
    <row r="21135" ht="15" customHeight="1"/>
    <row r="21136" ht="15" customHeight="1"/>
    <row r="21137" ht="15" customHeight="1"/>
    <row r="21138" ht="15" customHeight="1"/>
    <row r="21139" ht="15" customHeight="1"/>
    <row r="21140" ht="15" customHeight="1"/>
    <row r="21141" ht="15" customHeight="1"/>
    <row r="21142" ht="15" customHeight="1"/>
    <row r="21143" ht="15" customHeight="1"/>
    <row r="21144" ht="15" customHeight="1"/>
    <row r="21145" ht="15" customHeight="1"/>
    <row r="21146" ht="15" customHeight="1"/>
    <row r="21147" ht="15" customHeight="1"/>
    <row r="21148" ht="15" customHeight="1"/>
    <row r="21149" ht="15" customHeight="1"/>
    <row r="21150" ht="15" customHeight="1"/>
    <row r="21151" ht="15" customHeight="1"/>
    <row r="21152" ht="15" customHeight="1"/>
    <row r="21153" ht="15" customHeight="1"/>
    <row r="21154" ht="15" customHeight="1"/>
    <row r="21155" ht="15" customHeight="1"/>
    <row r="21156" ht="15" customHeight="1"/>
    <row r="21157" ht="15" customHeight="1"/>
    <row r="21158" ht="15" customHeight="1"/>
    <row r="21159" ht="15" customHeight="1"/>
    <row r="21160" ht="15" customHeight="1"/>
    <row r="21161" ht="15" customHeight="1"/>
    <row r="21162" ht="15" customHeight="1"/>
    <row r="21163" ht="15" customHeight="1"/>
    <row r="21164" ht="15" customHeight="1"/>
    <row r="21165" ht="15" customHeight="1"/>
    <row r="21166" ht="15" customHeight="1"/>
    <row r="21167" ht="15" customHeight="1"/>
    <row r="21168" ht="15" customHeight="1"/>
    <row r="21169" ht="15" customHeight="1"/>
    <row r="21170" ht="15" customHeight="1"/>
    <row r="21171" ht="15" customHeight="1"/>
    <row r="21172" ht="15" customHeight="1"/>
    <row r="21173" ht="15" customHeight="1"/>
    <row r="21174" ht="15" customHeight="1"/>
    <row r="21175" ht="15" customHeight="1"/>
    <row r="21176" ht="15" customHeight="1"/>
    <row r="21177" ht="15" customHeight="1"/>
    <row r="21178" ht="15" customHeight="1"/>
    <row r="21179" ht="15" customHeight="1"/>
    <row r="21180" ht="15" customHeight="1"/>
    <row r="21181" ht="15" customHeight="1"/>
    <row r="21182" ht="15" customHeight="1"/>
    <row r="21183" ht="15" customHeight="1"/>
    <row r="21184" ht="15" customHeight="1"/>
    <row r="21185" ht="15" customHeight="1"/>
    <row r="21186" ht="15" customHeight="1"/>
    <row r="21187" ht="15" customHeight="1"/>
    <row r="21188" ht="15" customHeight="1"/>
    <row r="21189" ht="15" customHeight="1"/>
    <row r="21190" ht="15" customHeight="1"/>
    <row r="21191" ht="15" customHeight="1"/>
    <row r="21192" ht="15" customHeight="1"/>
    <row r="21193" ht="15" customHeight="1"/>
    <row r="21194" ht="15" customHeight="1"/>
    <row r="21195" ht="15" customHeight="1"/>
    <row r="21196" ht="15" customHeight="1"/>
    <row r="21197" ht="15" customHeight="1"/>
    <row r="21198" ht="15" customHeight="1"/>
    <row r="21199" ht="15" customHeight="1"/>
    <row r="21200" ht="15" customHeight="1"/>
    <row r="21201" ht="15" customHeight="1"/>
    <row r="21202" ht="15" customHeight="1"/>
    <row r="21203" ht="15" customHeight="1"/>
    <row r="21204" ht="15" customHeight="1"/>
    <row r="21205" ht="15" customHeight="1"/>
    <row r="21206" ht="15" customHeight="1"/>
    <row r="21207" ht="15" customHeight="1"/>
    <row r="21208" ht="15" customHeight="1"/>
    <row r="21209" ht="15" customHeight="1"/>
    <row r="21210" ht="15" customHeight="1"/>
    <row r="21211" ht="15" customHeight="1"/>
    <row r="21212" ht="15" customHeight="1"/>
    <row r="21213" ht="15" customHeight="1"/>
    <row r="21214" ht="15" customHeight="1"/>
    <row r="21215" ht="15" customHeight="1"/>
    <row r="21216" ht="15" customHeight="1"/>
    <row r="21217" ht="15" customHeight="1"/>
    <row r="21218" ht="15" customHeight="1"/>
    <row r="21219" ht="15" customHeight="1"/>
    <row r="21220" ht="15" customHeight="1"/>
    <row r="21221" ht="15" customHeight="1"/>
    <row r="21222" ht="15" customHeight="1"/>
    <row r="21223" ht="15" customHeight="1"/>
    <row r="21224" ht="15" customHeight="1"/>
    <row r="21225" ht="15" customHeight="1"/>
    <row r="21226" ht="15" customHeight="1"/>
    <row r="21227" ht="15" customHeight="1"/>
    <row r="21228" ht="15" customHeight="1"/>
    <row r="21229" ht="15" customHeight="1"/>
    <row r="21230" ht="15" customHeight="1"/>
    <row r="21231" ht="15" customHeight="1"/>
    <row r="21232" ht="15" customHeight="1"/>
    <row r="21233" ht="15" customHeight="1"/>
    <row r="21234" ht="15" customHeight="1"/>
    <row r="21235" ht="15" customHeight="1"/>
    <row r="21236" ht="15" customHeight="1"/>
    <row r="21237" ht="15" customHeight="1"/>
    <row r="21238" ht="15" customHeight="1"/>
    <row r="21239" ht="15" customHeight="1"/>
    <row r="21240" ht="15" customHeight="1"/>
    <row r="21241" ht="15" customHeight="1"/>
    <row r="21242" ht="15" customHeight="1"/>
    <row r="21243" ht="15" customHeight="1"/>
    <row r="21244" ht="15" customHeight="1"/>
    <row r="21245" ht="15" customHeight="1"/>
    <row r="21246" ht="15" customHeight="1"/>
    <row r="21247" ht="15" customHeight="1"/>
    <row r="21248" ht="15" customHeight="1"/>
    <row r="21249" ht="15" customHeight="1"/>
    <row r="21250" ht="15" customHeight="1"/>
    <row r="21251" ht="15" customHeight="1"/>
    <row r="21252" ht="15" customHeight="1"/>
    <row r="21253" ht="15" customHeight="1"/>
    <row r="21254" ht="15" customHeight="1"/>
    <row r="21255" ht="15" customHeight="1"/>
    <row r="21256" ht="15" customHeight="1"/>
    <row r="21257" ht="15" customHeight="1"/>
    <row r="21258" ht="15" customHeight="1"/>
    <row r="21259" ht="15" customHeight="1"/>
    <row r="21260" ht="15" customHeight="1"/>
    <row r="21261" ht="15" customHeight="1"/>
    <row r="21262" ht="15" customHeight="1"/>
    <row r="21263" ht="15" customHeight="1"/>
    <row r="21264" ht="15" customHeight="1"/>
    <row r="21265" ht="15" customHeight="1"/>
    <row r="21266" ht="15" customHeight="1"/>
    <row r="21267" ht="15" customHeight="1"/>
    <row r="21268" ht="15" customHeight="1"/>
    <row r="21269" ht="15" customHeight="1"/>
    <row r="21270" ht="15" customHeight="1"/>
    <row r="21271" ht="15" customHeight="1"/>
    <row r="21272" ht="15" customHeight="1"/>
    <row r="21273" ht="15" customHeight="1"/>
    <row r="21274" ht="15" customHeight="1"/>
    <row r="21275" ht="15" customHeight="1"/>
    <row r="21276" ht="15" customHeight="1"/>
    <row r="21277" ht="15" customHeight="1"/>
    <row r="21278" ht="15" customHeight="1"/>
    <row r="21279" ht="15" customHeight="1"/>
    <row r="21280" ht="15" customHeight="1"/>
    <row r="21281" ht="15" customHeight="1"/>
    <row r="21282" ht="15" customHeight="1"/>
    <row r="21283" ht="15" customHeight="1"/>
    <row r="21284" ht="15" customHeight="1"/>
    <row r="21285" ht="15" customHeight="1"/>
    <row r="21286" ht="15" customHeight="1"/>
    <row r="21287" ht="15" customHeight="1"/>
    <row r="21288" ht="15" customHeight="1"/>
    <row r="21289" ht="15" customHeight="1"/>
    <row r="21290" ht="15" customHeight="1"/>
    <row r="21291" ht="15" customHeight="1"/>
    <row r="21292" ht="15" customHeight="1"/>
    <row r="21293" ht="15" customHeight="1"/>
    <row r="21294" ht="15" customHeight="1"/>
    <row r="21295" ht="15" customHeight="1"/>
    <row r="21296" ht="15" customHeight="1"/>
    <row r="21297" ht="15" customHeight="1"/>
    <row r="21298" ht="15" customHeight="1"/>
    <row r="21299" ht="15" customHeight="1"/>
    <row r="21300" ht="15" customHeight="1"/>
    <row r="21301" ht="15" customHeight="1"/>
    <row r="21302" ht="15" customHeight="1"/>
    <row r="21303" ht="15" customHeight="1"/>
    <row r="21304" ht="15" customHeight="1"/>
    <row r="21305" ht="15" customHeight="1"/>
    <row r="21306" ht="15" customHeight="1"/>
    <row r="21307" ht="15" customHeight="1"/>
    <row r="21308" ht="15" customHeight="1"/>
    <row r="21309" ht="15" customHeight="1"/>
    <row r="21310" ht="15" customHeight="1"/>
    <row r="21311" ht="15" customHeight="1"/>
    <row r="21312" ht="15" customHeight="1"/>
    <row r="21313" ht="15" customHeight="1"/>
    <row r="21314" ht="15" customHeight="1"/>
    <row r="21315" ht="15" customHeight="1"/>
    <row r="21316" ht="15" customHeight="1"/>
    <row r="21317" ht="15" customHeight="1"/>
    <row r="21318" ht="15" customHeight="1"/>
    <row r="21319" ht="15" customHeight="1"/>
    <row r="21320" ht="15" customHeight="1"/>
    <row r="21321" ht="15" customHeight="1"/>
    <row r="21322" ht="15" customHeight="1"/>
    <row r="21323" ht="15" customHeight="1"/>
    <row r="21324" ht="15" customHeight="1"/>
    <row r="21325" ht="15" customHeight="1"/>
    <row r="21326" ht="15" customHeight="1"/>
    <row r="21327" ht="15" customHeight="1"/>
    <row r="21328" ht="15" customHeight="1"/>
    <row r="21329" ht="15" customHeight="1"/>
    <row r="21330" ht="15" customHeight="1"/>
    <row r="21331" ht="15" customHeight="1"/>
    <row r="21332" ht="15" customHeight="1"/>
    <row r="21333" ht="15" customHeight="1"/>
    <row r="21334" ht="15" customHeight="1"/>
    <row r="21335" ht="15" customHeight="1"/>
    <row r="21336" ht="15" customHeight="1"/>
    <row r="21337" ht="15" customHeight="1"/>
    <row r="21338" ht="15" customHeight="1"/>
    <row r="21339" ht="15" customHeight="1"/>
    <row r="21340" ht="15" customHeight="1"/>
    <row r="21341" ht="15" customHeight="1"/>
    <row r="21342" ht="15" customHeight="1"/>
    <row r="21343" ht="15" customHeight="1"/>
    <row r="21344" ht="15" customHeight="1"/>
    <row r="21345" ht="15" customHeight="1"/>
    <row r="21346" ht="15" customHeight="1"/>
    <row r="21347" ht="15" customHeight="1"/>
    <row r="21348" ht="15" customHeight="1"/>
    <row r="21349" ht="15" customHeight="1"/>
    <row r="21350" ht="15" customHeight="1"/>
    <row r="21351" ht="15" customHeight="1"/>
    <row r="21352" ht="15" customHeight="1"/>
    <row r="21353" ht="15" customHeight="1"/>
    <row r="21354" ht="15" customHeight="1"/>
    <row r="21355" ht="15" customHeight="1"/>
    <row r="21356" ht="15" customHeight="1"/>
    <row r="21357" ht="15" customHeight="1"/>
    <row r="21358" ht="15" customHeight="1"/>
    <row r="21359" ht="15" customHeight="1"/>
    <row r="21360" ht="15" customHeight="1"/>
    <row r="21361" ht="15" customHeight="1"/>
    <row r="21362" ht="15" customHeight="1"/>
    <row r="21363" ht="15" customHeight="1"/>
    <row r="21364" ht="15" customHeight="1"/>
    <row r="21365" ht="15" customHeight="1"/>
    <row r="21366" ht="15" customHeight="1"/>
    <row r="21367" ht="15" customHeight="1"/>
    <row r="21368" ht="15" customHeight="1"/>
    <row r="21369" ht="15" customHeight="1"/>
    <row r="21370" ht="15" customHeight="1"/>
    <row r="21371" ht="15" customHeight="1"/>
    <row r="21372" ht="15" customHeight="1"/>
    <row r="21373" ht="15" customHeight="1"/>
    <row r="21374" ht="15" customHeight="1"/>
    <row r="21375" ht="15" customHeight="1"/>
    <row r="21376" ht="15" customHeight="1"/>
    <row r="21377" ht="15" customHeight="1"/>
    <row r="21378" ht="15" customHeight="1"/>
    <row r="21379" ht="15" customHeight="1"/>
    <row r="21380" ht="15" customHeight="1"/>
    <row r="21381" ht="15" customHeight="1"/>
    <row r="21382" ht="15" customHeight="1"/>
    <row r="21383" ht="15" customHeight="1"/>
    <row r="21384" ht="15" customHeight="1"/>
    <row r="21385" ht="15" customHeight="1"/>
    <row r="21386" ht="15" customHeight="1"/>
    <row r="21387" ht="15" customHeight="1"/>
    <row r="21388" ht="15" customHeight="1"/>
    <row r="21389" ht="15" customHeight="1"/>
    <row r="21390" ht="15" customHeight="1"/>
    <row r="21391" ht="15" customHeight="1"/>
    <row r="21392" ht="15" customHeight="1"/>
    <row r="21393" ht="15" customHeight="1"/>
    <row r="21394" ht="15" customHeight="1"/>
    <row r="21395" ht="15" customHeight="1"/>
    <row r="21396" ht="15" customHeight="1"/>
    <row r="21397" ht="15" customHeight="1"/>
    <row r="21398" ht="15" customHeight="1"/>
    <row r="21399" ht="15" customHeight="1"/>
    <row r="21400" ht="15" customHeight="1"/>
    <row r="21401" ht="15" customHeight="1"/>
    <row r="21402" ht="15" customHeight="1"/>
    <row r="21403" ht="15" customHeight="1"/>
    <row r="21404" ht="15" customHeight="1"/>
    <row r="21405" ht="15" customHeight="1"/>
    <row r="21406" ht="15" customHeight="1"/>
    <row r="21407" ht="15" customHeight="1"/>
    <row r="21408" ht="15" customHeight="1"/>
    <row r="21409" ht="15" customHeight="1"/>
    <row r="21410" ht="15" customHeight="1"/>
    <row r="21411" ht="15" customHeight="1"/>
    <row r="21412" ht="15" customHeight="1"/>
    <row r="21413" ht="15" customHeight="1"/>
    <row r="21414" ht="15" customHeight="1"/>
    <row r="21415" ht="15" customHeight="1"/>
    <row r="21416" ht="15" customHeight="1"/>
    <row r="21417" ht="15" customHeight="1"/>
    <row r="21418" ht="15" customHeight="1"/>
    <row r="21419" ht="15" customHeight="1"/>
    <row r="21420" ht="15" customHeight="1"/>
    <row r="21421" ht="15" customHeight="1"/>
    <row r="21422" ht="15" customHeight="1"/>
    <row r="21423" ht="15" customHeight="1"/>
    <row r="21424" ht="15" customHeight="1"/>
    <row r="21425" ht="15" customHeight="1"/>
    <row r="21426" ht="15" customHeight="1"/>
    <row r="21427" ht="15" customHeight="1"/>
    <row r="21428" ht="15" customHeight="1"/>
    <row r="21429" ht="15" customHeight="1"/>
    <row r="21430" ht="15" customHeight="1"/>
    <row r="21431" ht="15" customHeight="1"/>
    <row r="21432" ht="15" customHeight="1"/>
    <row r="21433" ht="15" customHeight="1"/>
    <row r="21434" ht="15" customHeight="1"/>
    <row r="21435" ht="15" customHeight="1"/>
    <row r="21436" ht="15" customHeight="1"/>
    <row r="21437" ht="15" customHeight="1"/>
    <row r="21438" ht="15" customHeight="1"/>
    <row r="21439" ht="15" customHeight="1"/>
    <row r="21440" ht="15" customHeight="1"/>
    <row r="21441" ht="15" customHeight="1"/>
    <row r="21442" ht="15" customHeight="1"/>
    <row r="21443" ht="15" customHeight="1"/>
    <row r="21444" ht="15" customHeight="1"/>
    <row r="21445" ht="15" customHeight="1"/>
    <row r="21446" ht="15" customHeight="1"/>
    <row r="21447" ht="15" customHeight="1"/>
    <row r="21448" ht="15" customHeight="1"/>
    <row r="21449" ht="15" customHeight="1"/>
    <row r="21450" ht="15" customHeight="1"/>
    <row r="21451" ht="15" customHeight="1"/>
    <row r="21452" ht="15" customHeight="1"/>
    <row r="21453" ht="15" customHeight="1"/>
    <row r="21454" ht="15" customHeight="1"/>
    <row r="21455" ht="15" customHeight="1"/>
    <row r="21456" ht="15" customHeight="1"/>
    <row r="21457" ht="15" customHeight="1"/>
    <row r="21458" ht="15" customHeight="1"/>
    <row r="21459" ht="15" customHeight="1"/>
    <row r="21460" ht="15" customHeight="1"/>
    <row r="21461" ht="15" customHeight="1"/>
    <row r="21462" ht="15" customHeight="1"/>
    <row r="21463" ht="15" customHeight="1"/>
    <row r="21464" ht="15" customHeight="1"/>
    <row r="21465" ht="15" customHeight="1"/>
    <row r="21466" ht="15" customHeight="1"/>
    <row r="21467" ht="15" customHeight="1"/>
    <row r="21468" ht="15" customHeight="1"/>
    <row r="21469" ht="15" customHeight="1"/>
    <row r="21470" ht="15" customHeight="1"/>
    <row r="21471" ht="15" customHeight="1"/>
    <row r="21472" ht="15" customHeight="1"/>
    <row r="21473" ht="15" customHeight="1"/>
    <row r="21474" ht="15" customHeight="1"/>
    <row r="21475" ht="15" customHeight="1"/>
    <row r="21476" ht="15" customHeight="1"/>
    <row r="21477" ht="15" customHeight="1"/>
    <row r="21478" ht="15" customHeight="1"/>
    <row r="21479" ht="15" customHeight="1"/>
    <row r="21480" ht="15" customHeight="1"/>
    <row r="21481" ht="15" customHeight="1"/>
    <row r="21482" ht="15" customHeight="1"/>
    <row r="21483" ht="15" customHeight="1"/>
    <row r="21484" ht="15" customHeight="1"/>
    <row r="21485" ht="15" customHeight="1"/>
    <row r="21486" ht="15" customHeight="1"/>
    <row r="21487" ht="15" customHeight="1"/>
    <row r="21488" ht="15" customHeight="1"/>
    <row r="21489" ht="15" customHeight="1"/>
    <row r="21490" ht="15" customHeight="1"/>
    <row r="21491" ht="15" customHeight="1"/>
    <row r="21492" ht="15" customHeight="1"/>
    <row r="21493" ht="15" customHeight="1"/>
    <row r="21494" ht="15" customHeight="1"/>
    <row r="21495" ht="15" customHeight="1"/>
    <row r="21496" ht="15" customHeight="1"/>
    <row r="21497" ht="15" customHeight="1"/>
    <row r="21498" ht="15" customHeight="1"/>
    <row r="21499" ht="15" customHeight="1"/>
    <row r="21500" ht="15" customHeight="1"/>
    <row r="21501" ht="15" customHeight="1"/>
    <row r="21502" ht="15" customHeight="1"/>
    <row r="21503" ht="15" customHeight="1"/>
    <row r="21504" ht="15" customHeight="1"/>
    <row r="21505" ht="15" customHeight="1"/>
    <row r="21506" ht="15" customHeight="1"/>
    <row r="21507" ht="15" customHeight="1"/>
    <row r="21508" ht="15" customHeight="1"/>
    <row r="21509" ht="15" customHeight="1"/>
    <row r="21510" ht="15" customHeight="1"/>
    <row r="21511" ht="15" customHeight="1"/>
    <row r="21512" ht="15" customHeight="1"/>
    <row r="21513" ht="15" customHeight="1"/>
    <row r="21514" ht="15" customHeight="1"/>
    <row r="21515" ht="15" customHeight="1"/>
    <row r="21516" ht="15" customHeight="1"/>
    <row r="21517" ht="15" customHeight="1"/>
    <row r="21518" ht="15" customHeight="1"/>
    <row r="21519" ht="15" customHeight="1"/>
    <row r="21520" ht="15" customHeight="1"/>
    <row r="21521" ht="15" customHeight="1"/>
    <row r="21522" ht="15" customHeight="1"/>
    <row r="21523" ht="15" customHeight="1"/>
    <row r="21524" ht="15" customHeight="1"/>
    <row r="21525" ht="15" customHeight="1"/>
    <row r="21526" ht="15" customHeight="1"/>
    <row r="21527" ht="15" customHeight="1"/>
    <row r="21528" ht="15" customHeight="1"/>
    <row r="21529" ht="15" customHeight="1"/>
    <row r="21530" ht="15" customHeight="1"/>
    <row r="21531" ht="15" customHeight="1"/>
    <row r="21532" ht="15" customHeight="1"/>
    <row r="21533" ht="15" customHeight="1"/>
    <row r="21534" ht="15" customHeight="1"/>
    <row r="21535" ht="15" customHeight="1"/>
    <row r="21536" ht="15" customHeight="1"/>
    <row r="21537" ht="15" customHeight="1"/>
    <row r="21538" ht="15" customHeight="1"/>
    <row r="21539" ht="15" customHeight="1"/>
    <row r="21540" ht="15" customHeight="1"/>
    <row r="21541" ht="15" customHeight="1"/>
    <row r="21542" ht="15" customHeight="1"/>
    <row r="21543" ht="15" customHeight="1"/>
    <row r="21544" ht="15" customHeight="1"/>
    <row r="21545" ht="15" customHeight="1"/>
    <row r="21546" ht="15" customHeight="1"/>
    <row r="21547" ht="15" customHeight="1"/>
    <row r="21548" ht="15" customHeight="1"/>
    <row r="21549" ht="15" customHeight="1"/>
    <row r="21550" ht="15" customHeight="1"/>
    <row r="21551" ht="15" customHeight="1"/>
    <row r="21552" ht="15" customHeight="1"/>
    <row r="21553" ht="15" customHeight="1"/>
    <row r="21554" ht="15" customHeight="1"/>
    <row r="21555" ht="15" customHeight="1"/>
    <row r="21556" ht="15" customHeight="1"/>
    <row r="21557" ht="15" customHeight="1"/>
    <row r="21558" ht="15" customHeight="1"/>
    <row r="21559" ht="15" customHeight="1"/>
    <row r="21560" ht="15" customHeight="1"/>
    <row r="21561" ht="15" customHeight="1"/>
    <row r="21562" ht="15" customHeight="1"/>
    <row r="21563" ht="15" customHeight="1"/>
    <row r="21564" ht="15" customHeight="1"/>
    <row r="21565" ht="15" customHeight="1"/>
    <row r="21566" ht="15" customHeight="1"/>
    <row r="21567" ht="15" customHeight="1"/>
    <row r="21568" ht="15" customHeight="1"/>
    <row r="21569" ht="15" customHeight="1"/>
    <row r="21570" ht="15" customHeight="1"/>
    <row r="21571" ht="15" customHeight="1"/>
    <row r="21572" ht="15" customHeight="1"/>
    <row r="21573" ht="15" customHeight="1"/>
    <row r="21574" ht="15" customHeight="1"/>
    <row r="21575" ht="15" customHeight="1"/>
    <row r="21576" ht="15" customHeight="1"/>
    <row r="21577" ht="15" customHeight="1"/>
    <row r="21578" ht="15" customHeight="1"/>
    <row r="21579" ht="15" customHeight="1"/>
    <row r="21580" ht="15" customHeight="1"/>
    <row r="21581" ht="15" customHeight="1"/>
    <row r="21582" ht="15" customHeight="1"/>
    <row r="21583" ht="15" customHeight="1"/>
    <row r="21584" ht="15" customHeight="1"/>
    <row r="21585" ht="15" customHeight="1"/>
    <row r="21586" ht="15" customHeight="1"/>
    <row r="21587" ht="15" customHeight="1"/>
    <row r="21588" ht="15" customHeight="1"/>
    <row r="21589" ht="15" customHeight="1"/>
    <row r="21590" ht="15" customHeight="1"/>
    <row r="21591" ht="15" customHeight="1"/>
    <row r="21592" ht="15" customHeight="1"/>
    <row r="21593" ht="15" customHeight="1"/>
    <row r="21594" ht="15" customHeight="1"/>
    <row r="21595" ht="15" customHeight="1"/>
    <row r="21596" ht="15" customHeight="1"/>
    <row r="21597" ht="15" customHeight="1"/>
    <row r="21598" ht="15" customHeight="1"/>
    <row r="21599" ht="15" customHeight="1"/>
    <row r="21600" ht="15" customHeight="1"/>
    <row r="21601" ht="15" customHeight="1"/>
    <row r="21602" ht="15" customHeight="1"/>
    <row r="21603" ht="15" customHeight="1"/>
    <row r="21604" ht="15" customHeight="1"/>
    <row r="21605" ht="15" customHeight="1"/>
    <row r="21606" ht="15" customHeight="1"/>
    <row r="21607" ht="15" customHeight="1"/>
    <row r="21608" ht="15" customHeight="1"/>
    <row r="21609" ht="15" customHeight="1"/>
    <row r="21610" ht="15" customHeight="1"/>
    <row r="21611" ht="15" customHeight="1"/>
    <row r="21612" ht="15" customHeight="1"/>
    <row r="21613" ht="15" customHeight="1"/>
    <row r="21614" ht="15" customHeight="1"/>
    <row r="21615" ht="15" customHeight="1"/>
    <row r="21616" ht="15" customHeight="1"/>
    <row r="21617" ht="15" customHeight="1"/>
    <row r="21618" ht="15" customHeight="1"/>
    <row r="21619" ht="15" customHeight="1"/>
    <row r="21620" ht="15" customHeight="1"/>
    <row r="21621" ht="15" customHeight="1"/>
    <row r="21622" ht="15" customHeight="1"/>
    <row r="21623" ht="15" customHeight="1"/>
    <row r="21624" ht="15" customHeight="1"/>
    <row r="21625" ht="15" customHeight="1"/>
    <row r="21626" ht="15" customHeight="1"/>
    <row r="21627" ht="15" customHeight="1"/>
    <row r="21628" ht="15" customHeight="1"/>
    <row r="21629" ht="15" customHeight="1"/>
    <row r="21630" ht="15" customHeight="1"/>
    <row r="21631" ht="15" customHeight="1"/>
    <row r="21632" ht="15" customHeight="1"/>
    <row r="21633" ht="15" customHeight="1"/>
    <row r="21634" ht="15" customHeight="1"/>
    <row r="21635" ht="15" customHeight="1"/>
    <row r="21636" ht="15" customHeight="1"/>
    <row r="21637" ht="15" customHeight="1"/>
    <row r="21638" ht="15" customHeight="1"/>
    <row r="21639" ht="15" customHeight="1"/>
    <row r="21640" ht="15" customHeight="1"/>
    <row r="21641" ht="15" customHeight="1"/>
    <row r="21642" ht="15" customHeight="1"/>
    <row r="21643" ht="15" customHeight="1"/>
    <row r="21644" ht="15" customHeight="1"/>
    <row r="21645" ht="15" customHeight="1"/>
    <row r="21646" ht="15" customHeight="1"/>
    <row r="21647" ht="15" customHeight="1"/>
    <row r="21648" ht="15" customHeight="1"/>
    <row r="21649" ht="15" customHeight="1"/>
    <row r="21650" ht="15" customHeight="1"/>
    <row r="21651" ht="15" customHeight="1"/>
    <row r="21652" ht="15" customHeight="1"/>
    <row r="21653" ht="15" customHeight="1"/>
    <row r="21654" ht="15" customHeight="1"/>
    <row r="21655" ht="15" customHeight="1"/>
    <row r="21656" ht="15" customHeight="1"/>
    <row r="21657" ht="15" customHeight="1"/>
    <row r="21658" ht="15" customHeight="1"/>
    <row r="21659" ht="15" customHeight="1"/>
    <row r="21660" ht="15" customHeight="1"/>
    <row r="21661" ht="15" customHeight="1"/>
    <row r="21662" ht="15" customHeight="1"/>
    <row r="21663" ht="15" customHeight="1"/>
    <row r="21664" ht="15" customHeight="1"/>
    <row r="21665" ht="15" customHeight="1"/>
    <row r="21666" ht="15" customHeight="1"/>
    <row r="21667" ht="15" customHeight="1"/>
    <row r="21668" ht="15" customHeight="1"/>
    <row r="21669" ht="15" customHeight="1"/>
    <row r="21670" ht="15" customHeight="1"/>
    <row r="21671" ht="15" customHeight="1"/>
    <row r="21672" ht="15" customHeight="1"/>
    <row r="21673" ht="15" customHeight="1"/>
    <row r="21674" ht="15" customHeight="1"/>
    <row r="21675" ht="15" customHeight="1"/>
    <row r="21676" ht="15" customHeight="1"/>
    <row r="21677" ht="15" customHeight="1"/>
    <row r="21678" ht="15" customHeight="1"/>
    <row r="21679" ht="15" customHeight="1"/>
    <row r="21680" ht="15" customHeight="1"/>
    <row r="21681" ht="15" customHeight="1"/>
    <row r="21682" ht="15" customHeight="1"/>
    <row r="21683" ht="15" customHeight="1"/>
    <row r="21684" ht="15" customHeight="1"/>
    <row r="21685" ht="15" customHeight="1"/>
    <row r="21686" ht="15" customHeight="1"/>
    <row r="21687" ht="15" customHeight="1"/>
    <row r="21688" ht="15" customHeight="1"/>
    <row r="21689" ht="15" customHeight="1"/>
    <row r="21690" ht="15" customHeight="1"/>
    <row r="21691" ht="15" customHeight="1"/>
    <row r="21692" ht="15" customHeight="1"/>
    <row r="21693" ht="15" customHeight="1"/>
    <row r="21694" ht="15" customHeight="1"/>
    <row r="21695" ht="15" customHeight="1"/>
    <row r="21696" ht="15" customHeight="1"/>
    <row r="21697" ht="15" customHeight="1"/>
    <row r="21698" ht="15" customHeight="1"/>
    <row r="21699" ht="15" customHeight="1"/>
    <row r="21700" ht="15" customHeight="1"/>
    <row r="21701" ht="15" customHeight="1"/>
    <row r="21702" ht="15" customHeight="1"/>
    <row r="21703" ht="15" customHeight="1"/>
    <row r="21704" ht="15" customHeight="1"/>
    <row r="21705" ht="15" customHeight="1"/>
    <row r="21706" ht="15" customHeight="1"/>
    <row r="21707" ht="15" customHeight="1"/>
    <row r="21708" ht="15" customHeight="1"/>
    <row r="21709" ht="15" customHeight="1"/>
    <row r="21710" ht="15" customHeight="1"/>
    <row r="21711" ht="15" customHeight="1"/>
    <row r="21712" ht="15" customHeight="1"/>
    <row r="21713" ht="15" customHeight="1"/>
    <row r="21714" ht="15" customHeight="1"/>
    <row r="21715" ht="15" customHeight="1"/>
    <row r="21716" ht="15" customHeight="1"/>
    <row r="21717" ht="15" customHeight="1"/>
    <row r="21718" ht="15" customHeight="1"/>
    <row r="21719" ht="15" customHeight="1"/>
    <row r="21720" ht="15" customHeight="1"/>
    <row r="21721" ht="15" customHeight="1"/>
    <row r="21722" ht="15" customHeight="1"/>
    <row r="21723" ht="15" customHeight="1"/>
    <row r="21724" ht="15" customHeight="1"/>
    <row r="21725" ht="15" customHeight="1"/>
    <row r="21726" ht="15" customHeight="1"/>
    <row r="21727" ht="15" customHeight="1"/>
    <row r="21728" ht="15" customHeight="1"/>
    <row r="21729" ht="15" customHeight="1"/>
    <row r="21730" ht="15" customHeight="1"/>
    <row r="21731" ht="15" customHeight="1"/>
    <row r="21732" ht="15" customHeight="1"/>
    <row r="21733" ht="15" customHeight="1"/>
    <row r="21734" ht="15" customHeight="1"/>
    <row r="21735" ht="15" customHeight="1"/>
    <row r="21736" ht="15" customHeight="1"/>
    <row r="21737" ht="15" customHeight="1"/>
    <row r="21738" ht="15" customHeight="1"/>
    <row r="21739" ht="15" customHeight="1"/>
    <row r="21740" ht="15" customHeight="1"/>
    <row r="21741" ht="15" customHeight="1"/>
    <row r="21742" ht="15" customHeight="1"/>
    <row r="21743" ht="15" customHeight="1"/>
    <row r="21744" ht="15" customHeight="1"/>
    <row r="21745" ht="15" customHeight="1"/>
    <row r="21746" ht="15" customHeight="1"/>
    <row r="21747" ht="15" customHeight="1"/>
    <row r="21748" ht="15" customHeight="1"/>
    <row r="21749" ht="15" customHeight="1"/>
    <row r="21750" ht="15" customHeight="1"/>
    <row r="21751" ht="15" customHeight="1"/>
    <row r="21752" ht="15" customHeight="1"/>
    <row r="21753" ht="15" customHeight="1"/>
    <row r="21754" ht="15" customHeight="1"/>
    <row r="21755" ht="15" customHeight="1"/>
    <row r="21756" ht="15" customHeight="1"/>
    <row r="21757" ht="15" customHeight="1"/>
    <row r="21758" ht="15" customHeight="1"/>
    <row r="21759" ht="15" customHeight="1"/>
    <row r="21760" ht="15" customHeight="1"/>
    <row r="21761" ht="15" customHeight="1"/>
    <row r="21762" ht="15" customHeight="1"/>
    <row r="21763" ht="15" customHeight="1"/>
    <row r="21764" ht="15" customHeight="1"/>
    <row r="21765" ht="15" customHeight="1"/>
    <row r="21766" ht="15" customHeight="1"/>
    <row r="21767" ht="15" customHeight="1"/>
    <row r="21768" ht="15" customHeight="1"/>
    <row r="21769" ht="15" customHeight="1"/>
    <row r="21770" ht="15" customHeight="1"/>
    <row r="21771" ht="15" customHeight="1"/>
    <row r="21772" ht="15" customHeight="1"/>
    <row r="21773" ht="15" customHeight="1"/>
    <row r="21774" ht="15" customHeight="1"/>
    <row r="21775" ht="15" customHeight="1"/>
    <row r="21776" ht="15" customHeight="1"/>
    <row r="21777" ht="15" customHeight="1"/>
    <row r="21778" ht="15" customHeight="1"/>
    <row r="21779" ht="15" customHeight="1"/>
    <row r="21780" ht="15" customHeight="1"/>
    <row r="21781" ht="15" customHeight="1"/>
    <row r="21782" ht="15" customHeight="1"/>
    <row r="21783" ht="15" customHeight="1"/>
    <row r="21784" ht="15" customHeight="1"/>
    <row r="21785" ht="15" customHeight="1"/>
    <row r="21786" ht="15" customHeight="1"/>
    <row r="21787" ht="15" customHeight="1"/>
    <row r="21788" ht="15" customHeight="1"/>
    <row r="21789" ht="15" customHeight="1"/>
    <row r="21790" ht="15" customHeight="1"/>
    <row r="21791" ht="15" customHeight="1"/>
    <row r="21792" ht="15" customHeight="1"/>
    <row r="21793" ht="15" customHeight="1"/>
    <row r="21794" ht="15" customHeight="1"/>
    <row r="21795" ht="15" customHeight="1"/>
    <row r="21796" ht="15" customHeight="1"/>
    <row r="21797" ht="15" customHeight="1"/>
    <row r="21798" ht="15" customHeight="1"/>
    <row r="21799" ht="15" customHeight="1"/>
    <row r="21800" ht="15" customHeight="1"/>
    <row r="21801" ht="15" customHeight="1"/>
    <row r="21802" ht="15" customHeight="1"/>
    <row r="21803" ht="15" customHeight="1"/>
    <row r="21804" ht="15" customHeight="1"/>
    <row r="21805" ht="15" customHeight="1"/>
    <row r="21806" ht="15" customHeight="1"/>
    <row r="21807" ht="15" customHeight="1"/>
    <row r="21808" ht="15" customHeight="1"/>
    <row r="21809" ht="15" customHeight="1"/>
    <row r="21810" ht="15" customHeight="1"/>
    <row r="21811" ht="15" customHeight="1"/>
    <row r="21812" ht="15" customHeight="1"/>
    <row r="21813" ht="15" customHeight="1"/>
    <row r="21814" ht="15" customHeight="1"/>
    <row r="21815" ht="15" customHeight="1"/>
    <row r="21816" ht="15" customHeight="1"/>
    <row r="21817" ht="15" customHeight="1"/>
    <row r="21818" ht="15" customHeight="1"/>
    <row r="21819" ht="15" customHeight="1"/>
    <row r="21820" ht="15" customHeight="1"/>
    <row r="21821" ht="15" customHeight="1"/>
    <row r="21822" ht="15" customHeight="1"/>
    <row r="21823" ht="15" customHeight="1"/>
    <row r="21824" ht="15" customHeight="1"/>
    <row r="21825" ht="15" customHeight="1"/>
    <row r="21826" ht="15" customHeight="1"/>
    <row r="21827" ht="15" customHeight="1"/>
    <row r="21828" ht="15" customHeight="1"/>
    <row r="21829" ht="15" customHeight="1"/>
    <row r="21830" ht="15" customHeight="1"/>
    <row r="21831" ht="15" customHeight="1"/>
    <row r="21832" ht="15" customHeight="1"/>
    <row r="21833" ht="15" customHeight="1"/>
    <row r="21834" ht="15" customHeight="1"/>
    <row r="21835" ht="15" customHeight="1"/>
    <row r="21836" ht="15" customHeight="1"/>
    <row r="21837" ht="15" customHeight="1"/>
    <row r="21838" ht="15" customHeight="1"/>
    <row r="21839" ht="15" customHeight="1"/>
    <row r="21840" ht="15" customHeight="1"/>
    <row r="21841" ht="15" customHeight="1"/>
    <row r="21842" ht="15" customHeight="1"/>
    <row r="21843" ht="15" customHeight="1"/>
    <row r="21844" ht="15" customHeight="1"/>
    <row r="21845" ht="15" customHeight="1"/>
    <row r="21846" ht="15" customHeight="1"/>
    <row r="21847" ht="15" customHeight="1"/>
    <row r="21848" ht="15" customHeight="1"/>
    <row r="21849" ht="15" customHeight="1"/>
    <row r="21850" ht="15" customHeight="1"/>
    <row r="21851" ht="15" customHeight="1"/>
    <row r="21852" ht="15" customHeight="1"/>
    <row r="21853" ht="15" customHeight="1"/>
    <row r="21854" ht="15" customHeight="1"/>
    <row r="21855" ht="15" customHeight="1"/>
    <row r="21856" ht="15" customHeight="1"/>
    <row r="21857" ht="15" customHeight="1"/>
    <row r="21858" ht="15" customHeight="1"/>
    <row r="21859" ht="15" customHeight="1"/>
    <row r="21860" ht="15" customHeight="1"/>
    <row r="21861" ht="15" customHeight="1"/>
    <row r="21862" ht="15" customHeight="1"/>
    <row r="21863" ht="15" customHeight="1"/>
    <row r="21864" ht="15" customHeight="1"/>
    <row r="21865" ht="15" customHeight="1"/>
    <row r="21866" ht="15" customHeight="1"/>
    <row r="21867" ht="15" customHeight="1"/>
    <row r="21868" ht="15" customHeight="1"/>
    <row r="21869" ht="15" customHeight="1"/>
    <row r="21870" ht="15" customHeight="1"/>
    <row r="21871" ht="15" customHeight="1"/>
    <row r="21872" ht="15" customHeight="1"/>
    <row r="21873" ht="15" customHeight="1"/>
    <row r="21874" ht="15" customHeight="1"/>
    <row r="21875" ht="15" customHeight="1"/>
    <row r="21876" ht="15" customHeight="1"/>
    <row r="21877" ht="15" customHeight="1"/>
    <row r="21878" ht="15" customHeight="1"/>
    <row r="21879" ht="15" customHeight="1"/>
    <row r="21880" ht="15" customHeight="1"/>
    <row r="21881" ht="15" customHeight="1"/>
    <row r="21882" ht="15" customHeight="1"/>
    <row r="21883" ht="15" customHeight="1"/>
    <row r="21884" ht="15" customHeight="1"/>
    <row r="21885" ht="15" customHeight="1"/>
    <row r="21886" ht="15" customHeight="1"/>
    <row r="21887" ht="15" customHeight="1"/>
    <row r="21888" ht="15" customHeight="1"/>
    <row r="21889" ht="15" customHeight="1"/>
    <row r="21890" ht="15" customHeight="1"/>
    <row r="21891" ht="15" customHeight="1"/>
    <row r="21892" ht="15" customHeight="1"/>
    <row r="21893" ht="15" customHeight="1"/>
    <row r="21894" ht="15" customHeight="1"/>
    <row r="21895" ht="15" customHeight="1"/>
    <row r="21896" ht="15" customHeight="1"/>
    <row r="21897" ht="15" customHeight="1"/>
    <row r="21898" ht="15" customHeight="1"/>
    <row r="21899" ht="15" customHeight="1"/>
    <row r="21900" ht="15" customHeight="1"/>
    <row r="21901" ht="15" customHeight="1"/>
    <row r="21902" ht="15" customHeight="1"/>
    <row r="21903" ht="15" customHeight="1"/>
    <row r="21904" ht="15" customHeight="1"/>
    <row r="21905" ht="15" customHeight="1"/>
    <row r="21906" ht="15" customHeight="1"/>
    <row r="21907" ht="15" customHeight="1"/>
    <row r="21908" ht="15" customHeight="1"/>
    <row r="21909" ht="15" customHeight="1"/>
    <row r="21910" ht="15" customHeight="1"/>
    <row r="21911" ht="15" customHeight="1"/>
    <row r="21912" ht="15" customHeight="1"/>
    <row r="21913" ht="15" customHeight="1"/>
    <row r="21914" ht="15" customHeight="1"/>
    <row r="21915" ht="15" customHeight="1"/>
    <row r="21916" ht="15" customHeight="1"/>
    <row r="21917" ht="15" customHeight="1"/>
    <row r="21918" ht="15" customHeight="1"/>
    <row r="21919" ht="15" customHeight="1"/>
    <row r="21920" ht="15" customHeight="1"/>
    <row r="21921" ht="15" customHeight="1"/>
    <row r="21922" ht="15" customHeight="1"/>
    <row r="21923" ht="15" customHeight="1"/>
    <row r="21924" ht="15" customHeight="1"/>
    <row r="21925" ht="15" customHeight="1"/>
    <row r="21926" ht="15" customHeight="1"/>
    <row r="21927" ht="15" customHeight="1"/>
    <row r="21928" ht="15" customHeight="1"/>
    <row r="21929" ht="15" customHeight="1"/>
    <row r="21930" ht="15" customHeight="1"/>
    <row r="21931" ht="15" customHeight="1"/>
    <row r="21932" ht="15" customHeight="1"/>
    <row r="21933" ht="15" customHeight="1"/>
    <row r="21934" ht="15" customHeight="1"/>
    <row r="21935" ht="15" customHeight="1"/>
    <row r="21936" ht="15" customHeight="1"/>
    <row r="21937" ht="15" customHeight="1"/>
    <row r="21938" ht="15" customHeight="1"/>
    <row r="21939" ht="15" customHeight="1"/>
    <row r="21940" ht="15" customHeight="1"/>
    <row r="21941" ht="15" customHeight="1"/>
    <row r="21942" ht="15" customHeight="1"/>
    <row r="21943" ht="15" customHeight="1"/>
    <row r="21944" ht="15" customHeight="1"/>
    <row r="21945" ht="15" customHeight="1"/>
    <row r="21946" ht="15" customHeight="1"/>
    <row r="21947" ht="15" customHeight="1"/>
    <row r="21948" ht="15" customHeight="1"/>
    <row r="21949" ht="15" customHeight="1"/>
    <row r="21950" ht="15" customHeight="1"/>
    <row r="21951" ht="15" customHeight="1"/>
    <row r="21952" ht="15" customHeight="1"/>
    <row r="21953" ht="15" customHeight="1"/>
    <row r="21954" ht="15" customHeight="1"/>
    <row r="21955" ht="15" customHeight="1"/>
    <row r="21956" ht="15" customHeight="1"/>
    <row r="21957" ht="15" customHeight="1"/>
    <row r="21958" ht="15" customHeight="1"/>
    <row r="21959" ht="15" customHeight="1"/>
    <row r="21960" ht="15" customHeight="1"/>
    <row r="21961" ht="15" customHeight="1"/>
    <row r="21962" ht="15" customHeight="1"/>
    <row r="21963" ht="15" customHeight="1"/>
    <row r="21964" ht="15" customHeight="1"/>
    <row r="21965" ht="15" customHeight="1"/>
    <row r="21966" ht="15" customHeight="1"/>
    <row r="21967" ht="15" customHeight="1"/>
    <row r="21968" ht="15" customHeight="1"/>
    <row r="21969" ht="15" customHeight="1"/>
    <row r="21970" ht="15" customHeight="1"/>
    <row r="21971" ht="15" customHeight="1"/>
    <row r="21972" ht="15" customHeight="1"/>
    <row r="21973" ht="15" customHeight="1"/>
    <row r="21974" ht="15" customHeight="1"/>
    <row r="21975" ht="15" customHeight="1"/>
    <row r="21976" ht="15" customHeight="1"/>
    <row r="21977" ht="15" customHeight="1"/>
    <row r="21978" ht="15" customHeight="1"/>
    <row r="21979" ht="15" customHeight="1"/>
    <row r="21980" ht="15" customHeight="1"/>
    <row r="21981" ht="15" customHeight="1"/>
    <row r="21982" ht="15" customHeight="1"/>
    <row r="21983" ht="15" customHeight="1"/>
    <row r="21984" ht="15" customHeight="1"/>
    <row r="21985" ht="15" customHeight="1"/>
    <row r="21986" ht="15" customHeight="1"/>
    <row r="21987" ht="15" customHeight="1"/>
    <row r="21988" ht="15" customHeight="1"/>
    <row r="21989" ht="15" customHeight="1"/>
    <row r="21990" ht="15" customHeight="1"/>
    <row r="21991" ht="15" customHeight="1"/>
    <row r="21992" ht="15" customHeight="1"/>
    <row r="21993" ht="15" customHeight="1"/>
    <row r="21994" ht="15" customHeight="1"/>
    <row r="21995" ht="15" customHeight="1"/>
    <row r="21996" ht="15" customHeight="1"/>
    <row r="21997" ht="15" customHeight="1"/>
    <row r="21998" ht="15" customHeight="1"/>
    <row r="21999" ht="15" customHeight="1"/>
    <row r="22000" ht="15" customHeight="1"/>
    <row r="22001" ht="15" customHeight="1"/>
    <row r="22002" ht="15" customHeight="1"/>
    <row r="22003" ht="15" customHeight="1"/>
    <row r="22004" ht="15" customHeight="1"/>
    <row r="22005" ht="15" customHeight="1"/>
    <row r="22006" ht="15" customHeight="1"/>
    <row r="22007" ht="15" customHeight="1"/>
    <row r="22008" ht="15" customHeight="1"/>
    <row r="22009" ht="15" customHeight="1"/>
    <row r="22010" ht="15" customHeight="1"/>
    <row r="22011" ht="15" customHeight="1"/>
    <row r="22012" ht="15" customHeight="1"/>
    <row r="22013" ht="15" customHeight="1"/>
    <row r="22014" ht="15" customHeight="1"/>
    <row r="22015" ht="15" customHeight="1"/>
    <row r="22016" ht="15" customHeight="1"/>
    <row r="22017" ht="15" customHeight="1"/>
    <row r="22018" ht="15" customHeight="1"/>
    <row r="22019" ht="15" customHeight="1"/>
    <row r="22020" ht="15" customHeight="1"/>
    <row r="22021" ht="15" customHeight="1"/>
    <row r="22022" ht="15" customHeight="1"/>
    <row r="22023" ht="15" customHeight="1"/>
    <row r="22024" ht="15" customHeight="1"/>
    <row r="22025" ht="15" customHeight="1"/>
    <row r="22026" ht="15" customHeight="1"/>
    <row r="22027" ht="15" customHeight="1"/>
    <row r="22028" ht="15" customHeight="1"/>
    <row r="22029" ht="15" customHeight="1"/>
    <row r="22030" ht="15" customHeight="1"/>
    <row r="22031" ht="15" customHeight="1"/>
    <row r="22032" ht="15" customHeight="1"/>
    <row r="22033" ht="15" customHeight="1"/>
    <row r="22034" ht="15" customHeight="1"/>
    <row r="22035" ht="15" customHeight="1"/>
    <row r="22036" ht="15" customHeight="1"/>
    <row r="22037" ht="15" customHeight="1"/>
    <row r="22038" ht="15" customHeight="1"/>
    <row r="22039" ht="15" customHeight="1"/>
    <row r="22040" ht="15" customHeight="1"/>
    <row r="22041" ht="15" customHeight="1"/>
    <row r="22042" ht="15" customHeight="1"/>
    <row r="22043" ht="15" customHeight="1"/>
    <row r="22044" ht="15" customHeight="1"/>
    <row r="22045" ht="15" customHeight="1"/>
    <row r="22046" ht="15" customHeight="1"/>
    <row r="22047" ht="15" customHeight="1"/>
    <row r="22048" ht="15" customHeight="1"/>
    <row r="22049" ht="15" customHeight="1"/>
    <row r="22050" ht="15" customHeight="1"/>
    <row r="22051" ht="15" customHeight="1"/>
    <row r="22052" ht="15" customHeight="1"/>
    <row r="22053" ht="15" customHeight="1"/>
    <row r="22054" ht="15" customHeight="1"/>
    <row r="22055" ht="15" customHeight="1"/>
    <row r="22056" ht="15" customHeight="1"/>
    <row r="22057" ht="15" customHeight="1"/>
    <row r="22058" ht="15" customHeight="1"/>
    <row r="22059" ht="15" customHeight="1"/>
    <row r="22060" ht="15" customHeight="1"/>
    <row r="22061" ht="15" customHeight="1"/>
    <row r="22062" ht="15" customHeight="1"/>
    <row r="22063" ht="15" customHeight="1"/>
    <row r="22064" ht="15" customHeight="1"/>
    <row r="22065" ht="15" customHeight="1"/>
    <row r="22066" ht="15" customHeight="1"/>
    <row r="22067" ht="15" customHeight="1"/>
    <row r="22068" ht="15" customHeight="1"/>
    <row r="22069" ht="15" customHeight="1"/>
    <row r="22070" ht="15" customHeight="1"/>
    <row r="22071" ht="15" customHeight="1"/>
    <row r="22072" ht="15" customHeight="1"/>
    <row r="22073" ht="15" customHeight="1"/>
    <row r="22074" ht="15" customHeight="1"/>
    <row r="22075" ht="15" customHeight="1"/>
    <row r="22076" ht="15" customHeight="1"/>
    <row r="22077" ht="15" customHeight="1"/>
    <row r="22078" ht="15" customHeight="1"/>
    <row r="22079" ht="15" customHeight="1"/>
    <row r="22080" ht="15" customHeight="1"/>
    <row r="22081" ht="15" customHeight="1"/>
    <row r="22082" ht="15" customHeight="1"/>
    <row r="22083" ht="15" customHeight="1"/>
    <row r="22084" ht="15" customHeight="1"/>
    <row r="22085" ht="15" customHeight="1"/>
    <row r="22086" ht="15" customHeight="1"/>
    <row r="22087" ht="15" customHeight="1"/>
    <row r="22088" ht="15" customHeight="1"/>
    <row r="22089" ht="15" customHeight="1"/>
    <row r="22090" ht="15" customHeight="1"/>
    <row r="22091" ht="15" customHeight="1"/>
    <row r="22092" ht="15" customHeight="1"/>
    <row r="22093" ht="15" customHeight="1"/>
    <row r="22094" ht="15" customHeight="1"/>
    <row r="22095" ht="15" customHeight="1"/>
    <row r="22096" ht="15" customHeight="1"/>
    <row r="22097" ht="15" customHeight="1"/>
    <row r="22098" ht="15" customHeight="1"/>
    <row r="22099" ht="15" customHeight="1"/>
    <row r="22100" ht="15" customHeight="1"/>
    <row r="22101" ht="15" customHeight="1"/>
    <row r="22102" ht="15" customHeight="1"/>
    <row r="22103" ht="15" customHeight="1"/>
    <row r="22104" ht="15" customHeight="1"/>
    <row r="22105" ht="15" customHeight="1"/>
    <row r="22106" ht="15" customHeight="1"/>
    <row r="22107" ht="15" customHeight="1"/>
    <row r="22108" ht="15" customHeight="1"/>
    <row r="22109" ht="15" customHeight="1"/>
    <row r="22110" ht="15" customHeight="1"/>
    <row r="22111" ht="15" customHeight="1"/>
    <row r="22112" ht="15" customHeight="1"/>
    <row r="22113" ht="15" customHeight="1"/>
    <row r="22114" ht="15" customHeight="1"/>
    <row r="22115" ht="15" customHeight="1"/>
    <row r="22116" ht="15" customHeight="1"/>
    <row r="22117" ht="15" customHeight="1"/>
    <row r="22118" ht="15" customHeight="1"/>
    <row r="22119" ht="15" customHeight="1"/>
    <row r="22120" ht="15" customHeight="1"/>
    <row r="22121" ht="15" customHeight="1"/>
    <row r="22122" ht="15" customHeight="1"/>
    <row r="22123" ht="15" customHeight="1"/>
    <row r="22124" ht="15" customHeight="1"/>
    <row r="22125" ht="15" customHeight="1"/>
    <row r="22126" ht="15" customHeight="1"/>
    <row r="22127" ht="15" customHeight="1"/>
    <row r="22128" ht="15" customHeight="1"/>
    <row r="22129" ht="15" customHeight="1"/>
    <row r="22130" ht="15" customHeight="1"/>
    <row r="22131" ht="15" customHeight="1"/>
    <row r="22132" ht="15" customHeight="1"/>
    <row r="22133" ht="15" customHeight="1"/>
    <row r="22134" ht="15" customHeight="1"/>
    <row r="22135" ht="15" customHeight="1"/>
    <row r="22136" ht="15" customHeight="1"/>
    <row r="22137" ht="15" customHeight="1"/>
    <row r="22138" ht="15" customHeight="1"/>
    <row r="22139" ht="15" customHeight="1"/>
    <row r="22140" ht="15" customHeight="1"/>
    <row r="22141" ht="15" customHeight="1"/>
    <row r="22142" ht="15" customHeight="1"/>
    <row r="22143" ht="15" customHeight="1"/>
    <row r="22144" ht="15" customHeight="1"/>
    <row r="22145" ht="15" customHeight="1"/>
    <row r="22146" ht="15" customHeight="1"/>
    <row r="22147" ht="15" customHeight="1"/>
    <row r="22148" ht="15" customHeight="1"/>
    <row r="22149" ht="15" customHeight="1"/>
    <row r="22150" ht="15" customHeight="1"/>
    <row r="22151" ht="15" customHeight="1"/>
    <row r="22152" ht="15" customHeight="1"/>
    <row r="22153" ht="15" customHeight="1"/>
    <row r="22154" ht="15" customHeight="1"/>
    <row r="22155" ht="15" customHeight="1"/>
    <row r="22156" ht="15" customHeight="1"/>
    <row r="22157" ht="15" customHeight="1"/>
    <row r="22158" ht="15" customHeight="1"/>
    <row r="22159" ht="15" customHeight="1"/>
    <row r="22160" ht="15" customHeight="1"/>
    <row r="22161" ht="15" customHeight="1"/>
    <row r="22162" ht="15" customHeight="1"/>
    <row r="22163" ht="15" customHeight="1"/>
    <row r="22164" ht="15" customHeight="1"/>
    <row r="22165" ht="15" customHeight="1"/>
    <row r="22166" ht="15" customHeight="1"/>
    <row r="22167" ht="15" customHeight="1"/>
    <row r="22168" ht="15" customHeight="1"/>
    <row r="22169" ht="15" customHeight="1"/>
    <row r="22170" ht="15" customHeight="1"/>
    <row r="22171" ht="15" customHeight="1"/>
    <row r="22172" ht="15" customHeight="1"/>
    <row r="22173" ht="15" customHeight="1"/>
    <row r="22174" ht="15" customHeight="1"/>
    <row r="22175" ht="15" customHeight="1"/>
    <row r="22176" ht="15" customHeight="1"/>
    <row r="22177" ht="15" customHeight="1"/>
    <row r="22178" ht="15" customHeight="1"/>
    <row r="22179" ht="15" customHeight="1"/>
    <row r="22180" ht="15" customHeight="1"/>
    <row r="22181" ht="15" customHeight="1"/>
    <row r="22182" ht="15" customHeight="1"/>
    <row r="22183" ht="15" customHeight="1"/>
    <row r="22184" ht="15" customHeight="1"/>
    <row r="22185" ht="15" customHeight="1"/>
    <row r="22186" ht="15" customHeight="1"/>
    <row r="22187" ht="15" customHeight="1"/>
    <row r="22188" ht="15" customHeight="1"/>
    <row r="22189" ht="15" customHeight="1"/>
    <row r="22190" ht="15" customHeight="1"/>
    <row r="22191" ht="15" customHeight="1"/>
    <row r="22192" ht="15" customHeight="1"/>
    <row r="22193" ht="15" customHeight="1"/>
    <row r="22194" ht="15" customHeight="1"/>
    <row r="22195" ht="15" customHeight="1"/>
    <row r="22196" ht="15" customHeight="1"/>
    <row r="22197" ht="15" customHeight="1"/>
    <row r="22198" ht="15" customHeight="1"/>
    <row r="22199" ht="15" customHeight="1"/>
    <row r="22200" ht="15" customHeight="1"/>
    <row r="22201" ht="15" customHeight="1"/>
    <row r="22202" ht="15" customHeight="1"/>
    <row r="22203" ht="15" customHeight="1"/>
    <row r="22204" ht="15" customHeight="1"/>
    <row r="22205" ht="15" customHeight="1"/>
    <row r="22206" ht="15" customHeight="1"/>
    <row r="22207" ht="15" customHeight="1"/>
    <row r="22208" ht="15" customHeight="1"/>
    <row r="22209" ht="15" customHeight="1"/>
    <row r="22210" ht="15" customHeight="1"/>
    <row r="22211" ht="15" customHeight="1"/>
    <row r="22212" ht="15" customHeight="1"/>
    <row r="22213" ht="15" customHeight="1"/>
    <row r="22214" ht="15" customHeight="1"/>
    <row r="22215" ht="15" customHeight="1"/>
    <row r="22216" ht="15" customHeight="1"/>
    <row r="22217" ht="15" customHeight="1"/>
    <row r="22218" ht="15" customHeight="1"/>
    <row r="22219" ht="15" customHeight="1"/>
    <row r="22220" ht="15" customHeight="1"/>
    <row r="22221" ht="15" customHeight="1"/>
    <row r="22222" ht="15" customHeight="1"/>
    <row r="22223" ht="15" customHeight="1"/>
    <row r="22224" ht="15" customHeight="1"/>
    <row r="22225" ht="15" customHeight="1"/>
    <row r="22226" ht="15" customHeight="1"/>
    <row r="22227" ht="15" customHeight="1"/>
    <row r="22228" ht="15" customHeight="1"/>
    <row r="22229" ht="15" customHeight="1"/>
    <row r="22230" ht="15" customHeight="1"/>
    <row r="22231" ht="15" customHeight="1"/>
    <row r="22232" ht="15" customHeight="1"/>
    <row r="22233" ht="15" customHeight="1"/>
    <row r="22234" ht="15" customHeight="1"/>
    <row r="22235" ht="15" customHeight="1"/>
    <row r="22236" ht="15" customHeight="1"/>
    <row r="22237" ht="15" customHeight="1"/>
    <row r="22238" ht="15" customHeight="1"/>
    <row r="22239" ht="15" customHeight="1"/>
    <row r="22240" ht="15" customHeight="1"/>
    <row r="22241" ht="15" customHeight="1"/>
    <row r="22242" ht="15" customHeight="1"/>
    <row r="22243" ht="15" customHeight="1"/>
    <row r="22244" ht="15" customHeight="1"/>
    <row r="22245" ht="15" customHeight="1"/>
    <row r="22246" ht="15" customHeight="1"/>
    <row r="22247" ht="15" customHeight="1"/>
    <row r="22248" ht="15" customHeight="1"/>
    <row r="22249" ht="15" customHeight="1"/>
    <row r="22250" ht="15" customHeight="1"/>
    <row r="22251" ht="15" customHeight="1"/>
    <row r="22252" ht="15" customHeight="1"/>
    <row r="22253" ht="15" customHeight="1"/>
    <row r="22254" ht="15" customHeight="1"/>
    <row r="22255" ht="15" customHeight="1"/>
    <row r="22256" ht="15" customHeight="1"/>
    <row r="22257" ht="15" customHeight="1"/>
    <row r="22258" ht="15" customHeight="1"/>
    <row r="22259" ht="15" customHeight="1"/>
    <row r="22260" ht="15" customHeight="1"/>
    <row r="22261" ht="15" customHeight="1"/>
    <row r="22262" ht="15" customHeight="1"/>
    <row r="22263" ht="15" customHeight="1"/>
    <row r="22264" ht="15" customHeight="1"/>
    <row r="22265" ht="15" customHeight="1"/>
    <row r="22266" ht="15" customHeight="1"/>
    <row r="22267" ht="15" customHeight="1"/>
    <row r="22268" ht="15" customHeight="1"/>
    <row r="22269" ht="15" customHeight="1"/>
    <row r="22270" ht="15" customHeight="1"/>
    <row r="22271" ht="15" customHeight="1"/>
    <row r="22272" ht="15" customHeight="1"/>
    <row r="22273" ht="15" customHeight="1"/>
    <row r="22274" ht="15" customHeight="1"/>
    <row r="22275" ht="15" customHeight="1"/>
    <row r="22276" ht="15" customHeight="1"/>
    <row r="22277" ht="15" customHeight="1"/>
    <row r="22278" ht="15" customHeight="1"/>
    <row r="22279" ht="15" customHeight="1"/>
    <row r="22280" ht="15" customHeight="1"/>
    <row r="22281" ht="15" customHeight="1"/>
    <row r="22282" ht="15" customHeight="1"/>
    <row r="22283" ht="15" customHeight="1"/>
    <row r="22284" ht="15" customHeight="1"/>
    <row r="22285" ht="15" customHeight="1"/>
    <row r="22286" ht="15" customHeight="1"/>
    <row r="22287" ht="15" customHeight="1"/>
    <row r="22288" ht="15" customHeight="1"/>
    <row r="22289" ht="15" customHeight="1"/>
    <row r="22290" ht="15" customHeight="1"/>
    <row r="22291" ht="15" customHeight="1"/>
    <row r="22292" ht="15" customHeight="1"/>
    <row r="22293" ht="15" customHeight="1"/>
    <row r="22294" ht="15" customHeight="1"/>
    <row r="22295" ht="15" customHeight="1"/>
    <row r="22296" ht="15" customHeight="1"/>
    <row r="22297" ht="15" customHeight="1"/>
    <row r="22298" ht="15" customHeight="1"/>
    <row r="22299" ht="15" customHeight="1"/>
    <row r="22300" ht="15" customHeight="1"/>
    <row r="22301" ht="15" customHeight="1"/>
    <row r="22302" ht="15" customHeight="1"/>
    <row r="22303" ht="15" customHeight="1"/>
    <row r="22304" ht="15" customHeight="1"/>
    <row r="22305" ht="15" customHeight="1"/>
    <row r="22306" ht="15" customHeight="1"/>
    <row r="22307" ht="15" customHeight="1"/>
    <row r="22308" ht="15" customHeight="1"/>
    <row r="22309" ht="15" customHeight="1"/>
    <row r="22310" ht="15" customHeight="1"/>
    <row r="22311" ht="15" customHeight="1"/>
    <row r="22312" ht="15" customHeight="1"/>
    <row r="22313" ht="15" customHeight="1"/>
    <row r="22314" ht="15" customHeight="1"/>
    <row r="22315" ht="15" customHeight="1"/>
    <row r="22316" ht="15" customHeight="1"/>
    <row r="22317" ht="15" customHeight="1"/>
    <row r="22318" ht="15" customHeight="1"/>
    <row r="22319" ht="15" customHeight="1"/>
    <row r="22320" ht="15" customHeight="1"/>
    <row r="22321" ht="15" customHeight="1"/>
    <row r="22322" ht="15" customHeight="1"/>
    <row r="22323" ht="15" customHeight="1"/>
    <row r="22324" ht="15" customHeight="1"/>
    <row r="22325" ht="15" customHeight="1"/>
    <row r="22326" ht="15" customHeight="1"/>
    <row r="22327" ht="15" customHeight="1"/>
    <row r="22328" ht="15" customHeight="1"/>
    <row r="22329" ht="15" customHeight="1"/>
    <row r="22330" ht="15" customHeight="1"/>
    <row r="22331" ht="15" customHeight="1"/>
    <row r="22332" ht="15" customHeight="1"/>
    <row r="22333" ht="15" customHeight="1"/>
    <row r="22334" ht="15" customHeight="1"/>
    <row r="22335" ht="15" customHeight="1"/>
    <row r="22336" ht="15" customHeight="1"/>
    <row r="22337" ht="15" customHeight="1"/>
    <row r="22338" ht="15" customHeight="1"/>
    <row r="22339" ht="15" customHeight="1"/>
    <row r="22340" ht="15" customHeight="1"/>
    <row r="22341" ht="15" customHeight="1"/>
    <row r="22342" ht="15" customHeight="1"/>
    <row r="22343" ht="15" customHeight="1"/>
    <row r="22344" ht="15" customHeight="1"/>
    <row r="22345" ht="15" customHeight="1"/>
    <row r="22346" ht="15" customHeight="1"/>
    <row r="22347" ht="15" customHeight="1"/>
    <row r="22348" ht="15" customHeight="1"/>
    <row r="22349" ht="15" customHeight="1"/>
    <row r="22350" ht="15" customHeight="1"/>
    <row r="22351" ht="15" customHeight="1"/>
    <row r="22352" ht="15" customHeight="1"/>
    <row r="22353" ht="15" customHeight="1"/>
    <row r="22354" ht="15" customHeight="1"/>
    <row r="22355" ht="15" customHeight="1"/>
    <row r="22356" ht="15" customHeight="1"/>
    <row r="22357" ht="15" customHeight="1"/>
    <row r="22358" ht="15" customHeight="1"/>
    <row r="22359" ht="15" customHeight="1"/>
    <row r="22360" ht="15" customHeight="1"/>
    <row r="22361" ht="15" customHeight="1"/>
    <row r="22362" ht="15" customHeight="1"/>
    <row r="22363" ht="15" customHeight="1"/>
    <row r="22364" ht="15" customHeight="1"/>
    <row r="22365" ht="15" customHeight="1"/>
    <row r="22366" ht="15" customHeight="1"/>
    <row r="22367" ht="15" customHeight="1"/>
    <row r="22368" ht="15" customHeight="1"/>
    <row r="22369" ht="15" customHeight="1"/>
    <row r="22370" ht="15" customHeight="1"/>
    <row r="22371" ht="15" customHeight="1"/>
    <row r="22372" ht="15" customHeight="1"/>
    <row r="22373" ht="15" customHeight="1"/>
    <row r="22374" ht="15" customHeight="1"/>
    <row r="22375" ht="15" customHeight="1"/>
    <row r="22376" ht="15" customHeight="1"/>
    <row r="22377" ht="15" customHeight="1"/>
    <row r="22378" ht="15" customHeight="1"/>
    <row r="22379" ht="15" customHeight="1"/>
    <row r="22380" ht="15" customHeight="1"/>
    <row r="22381" ht="15" customHeight="1"/>
    <row r="22382" ht="15" customHeight="1"/>
    <row r="22383" ht="15" customHeight="1"/>
    <row r="22384" ht="15" customHeight="1"/>
    <row r="22385" ht="15" customHeight="1"/>
    <row r="22386" ht="15" customHeight="1"/>
    <row r="22387" ht="15" customHeight="1"/>
    <row r="22388" ht="15" customHeight="1"/>
    <row r="22389" ht="15" customHeight="1"/>
    <row r="22390" ht="15" customHeight="1"/>
    <row r="22391" ht="15" customHeight="1"/>
    <row r="22392" ht="15" customHeight="1"/>
    <row r="22393" ht="15" customHeight="1"/>
    <row r="22394" ht="15" customHeight="1"/>
    <row r="22395" ht="15" customHeight="1"/>
    <row r="22396" ht="15" customHeight="1"/>
    <row r="22397" ht="15" customHeight="1"/>
    <row r="22398" ht="15" customHeight="1"/>
    <row r="22399" ht="15" customHeight="1"/>
    <row r="22400" ht="15" customHeight="1"/>
    <row r="22401" ht="15" customHeight="1"/>
    <row r="22402" ht="15" customHeight="1"/>
    <row r="22403" ht="15" customHeight="1"/>
    <row r="22404" ht="15" customHeight="1"/>
    <row r="22405" ht="15" customHeight="1"/>
    <row r="22406" ht="15" customHeight="1"/>
    <row r="22407" ht="15" customHeight="1"/>
    <row r="22408" ht="15" customHeight="1"/>
    <row r="22409" ht="15" customHeight="1"/>
    <row r="22410" ht="15" customHeight="1"/>
    <row r="22411" ht="15" customHeight="1"/>
    <row r="22412" ht="15" customHeight="1"/>
    <row r="22413" ht="15" customHeight="1"/>
    <row r="22414" ht="15" customHeight="1"/>
    <row r="22415" ht="15" customHeight="1"/>
    <row r="22416" ht="15" customHeight="1"/>
    <row r="22417" ht="15" customHeight="1"/>
    <row r="22418" ht="15" customHeight="1"/>
    <row r="22419" ht="15" customHeight="1"/>
    <row r="22420" ht="15" customHeight="1"/>
    <row r="22421" ht="15" customHeight="1"/>
    <row r="22422" ht="15" customHeight="1"/>
    <row r="22423" ht="15" customHeight="1"/>
    <row r="22424" ht="15" customHeight="1"/>
    <row r="22425" ht="15" customHeight="1"/>
    <row r="22426" ht="15" customHeight="1"/>
    <row r="22427" ht="15" customHeight="1"/>
    <row r="22428" ht="15" customHeight="1"/>
    <row r="22429" ht="15" customHeight="1"/>
    <row r="22430" ht="15" customHeight="1"/>
    <row r="22431" ht="15" customHeight="1"/>
    <row r="22432" ht="15" customHeight="1"/>
    <row r="22433" ht="15" customHeight="1"/>
    <row r="22434" ht="15" customHeight="1"/>
    <row r="22435" ht="15" customHeight="1"/>
    <row r="22436" ht="15" customHeight="1"/>
    <row r="22437" ht="15" customHeight="1"/>
    <row r="22438" ht="15" customHeight="1"/>
    <row r="22439" ht="15" customHeight="1"/>
    <row r="22440" ht="15" customHeight="1"/>
    <row r="22441" ht="15" customHeight="1"/>
    <row r="22442" ht="15" customHeight="1"/>
    <row r="22443" ht="15" customHeight="1"/>
    <row r="22444" ht="15" customHeight="1"/>
    <row r="22445" ht="15" customHeight="1"/>
    <row r="22446" ht="15" customHeight="1"/>
    <row r="22447" ht="15" customHeight="1"/>
    <row r="22448" ht="15" customHeight="1"/>
    <row r="22449" ht="15" customHeight="1"/>
    <row r="22450" ht="15" customHeight="1"/>
    <row r="22451" ht="15" customHeight="1"/>
    <row r="22452" ht="15" customHeight="1"/>
    <row r="22453" ht="15" customHeight="1"/>
    <row r="22454" ht="15" customHeight="1"/>
    <row r="22455" ht="15" customHeight="1"/>
    <row r="22456" ht="15" customHeight="1"/>
    <row r="22457" ht="15" customHeight="1"/>
    <row r="22458" ht="15" customHeight="1"/>
    <row r="22459" ht="15" customHeight="1"/>
    <row r="22460" ht="15" customHeight="1"/>
    <row r="22461" ht="15" customHeight="1"/>
    <row r="22462" ht="15" customHeight="1"/>
    <row r="22463" ht="15" customHeight="1"/>
    <row r="22464" ht="15" customHeight="1"/>
    <row r="22465" ht="15" customHeight="1"/>
    <row r="22466" ht="15" customHeight="1"/>
    <row r="22467" ht="15" customHeight="1"/>
    <row r="22468" ht="15" customHeight="1"/>
    <row r="22469" ht="15" customHeight="1"/>
    <row r="22470" ht="15" customHeight="1"/>
    <row r="22471" ht="15" customHeight="1"/>
    <row r="22472" ht="15" customHeight="1"/>
    <row r="22473" ht="15" customHeight="1"/>
    <row r="22474" ht="15" customHeight="1"/>
    <row r="22475" ht="15" customHeight="1"/>
    <row r="22476" ht="15" customHeight="1"/>
    <row r="22477" ht="15" customHeight="1"/>
    <row r="22478" ht="15" customHeight="1"/>
    <row r="22479" ht="15" customHeight="1"/>
    <row r="22480" ht="15" customHeight="1"/>
    <row r="22481" ht="15" customHeight="1"/>
    <row r="22482" ht="15" customHeight="1"/>
    <row r="22483" ht="15" customHeight="1"/>
    <row r="22484" ht="15" customHeight="1"/>
    <row r="22485" ht="15" customHeight="1"/>
    <row r="22486" ht="15" customHeight="1"/>
    <row r="22487" ht="15" customHeight="1"/>
    <row r="22488" ht="15" customHeight="1"/>
    <row r="22489" ht="15" customHeight="1"/>
    <row r="22490" ht="15" customHeight="1"/>
    <row r="22491" ht="15" customHeight="1"/>
    <row r="22492" ht="15" customHeight="1"/>
    <row r="22493" ht="15" customHeight="1"/>
    <row r="22494" ht="15" customHeight="1"/>
    <row r="22495" ht="15" customHeight="1"/>
    <row r="22496" ht="15" customHeight="1"/>
    <row r="22497" ht="15" customHeight="1"/>
    <row r="22498" ht="15" customHeight="1"/>
    <row r="22499" ht="15" customHeight="1"/>
    <row r="22500" ht="15" customHeight="1"/>
    <row r="22501" ht="15" customHeight="1"/>
    <row r="22502" ht="15" customHeight="1"/>
    <row r="22503" ht="15" customHeight="1"/>
    <row r="22504" ht="15" customHeight="1"/>
    <row r="22505" ht="15" customHeight="1"/>
    <row r="22506" ht="15" customHeight="1"/>
    <row r="22507" ht="15" customHeight="1"/>
    <row r="22508" ht="15" customHeight="1"/>
    <row r="22509" ht="15" customHeight="1"/>
    <row r="22510" ht="15" customHeight="1"/>
    <row r="22511" ht="15" customHeight="1"/>
    <row r="22512" ht="15" customHeight="1"/>
    <row r="22513" ht="15" customHeight="1"/>
    <row r="22514" ht="15" customHeight="1"/>
    <row r="22515" ht="15" customHeight="1"/>
    <row r="22516" ht="15" customHeight="1"/>
    <row r="22517" ht="15" customHeight="1"/>
    <row r="22518" ht="15" customHeight="1"/>
    <row r="22519" ht="15" customHeight="1"/>
    <row r="22520" ht="15" customHeight="1"/>
    <row r="22521" ht="15" customHeight="1"/>
    <row r="22522" ht="15" customHeight="1"/>
    <row r="22523" ht="15" customHeight="1"/>
    <row r="22524" ht="15" customHeight="1"/>
    <row r="22525" ht="15" customHeight="1"/>
    <row r="22526" ht="15" customHeight="1"/>
    <row r="22527" ht="15" customHeight="1"/>
    <row r="22528" ht="15" customHeight="1"/>
    <row r="22529" ht="15" customHeight="1"/>
    <row r="22530" ht="15" customHeight="1"/>
    <row r="22531" ht="15" customHeight="1"/>
    <row r="22532" ht="15" customHeight="1"/>
    <row r="22533" ht="15" customHeight="1"/>
    <row r="22534" ht="15" customHeight="1"/>
    <row r="22535" ht="15" customHeight="1"/>
    <row r="22536" ht="15" customHeight="1"/>
    <row r="22537" ht="15" customHeight="1"/>
    <row r="22538" ht="15" customHeight="1"/>
    <row r="22539" ht="15" customHeight="1"/>
    <row r="22540" ht="15" customHeight="1"/>
    <row r="22541" ht="15" customHeight="1"/>
    <row r="22542" ht="15" customHeight="1"/>
    <row r="22543" ht="15" customHeight="1"/>
    <row r="22544" ht="15" customHeight="1"/>
    <row r="22545" ht="15" customHeight="1"/>
    <row r="22546" ht="15" customHeight="1"/>
    <row r="22547" ht="15" customHeight="1"/>
    <row r="22548" ht="15" customHeight="1"/>
    <row r="22549" ht="15" customHeight="1"/>
    <row r="22550" ht="15" customHeight="1"/>
    <row r="22551" ht="15" customHeight="1"/>
    <row r="22552" ht="15" customHeight="1"/>
    <row r="22553" ht="15" customHeight="1"/>
    <row r="22554" ht="15" customHeight="1"/>
    <row r="22555" ht="15" customHeight="1"/>
    <row r="22556" ht="15" customHeight="1"/>
    <row r="22557" ht="15" customHeight="1"/>
    <row r="22558" ht="15" customHeight="1"/>
    <row r="22559" ht="15" customHeight="1"/>
    <row r="22560" ht="15" customHeight="1"/>
    <row r="22561" ht="15" customHeight="1"/>
    <row r="22562" ht="15" customHeight="1"/>
    <row r="22563" ht="15" customHeight="1"/>
    <row r="22564" ht="15" customHeight="1"/>
    <row r="22565" ht="15" customHeight="1"/>
    <row r="22566" ht="15" customHeight="1"/>
    <row r="22567" ht="15" customHeight="1"/>
    <row r="22568" ht="15" customHeight="1"/>
    <row r="22569" ht="15" customHeight="1"/>
    <row r="22570" ht="15" customHeight="1"/>
    <row r="22571" ht="15" customHeight="1"/>
    <row r="22572" ht="15" customHeight="1"/>
    <row r="22573" ht="15" customHeight="1"/>
    <row r="22574" ht="15" customHeight="1"/>
    <row r="22575" ht="15" customHeight="1"/>
    <row r="22576" ht="15" customHeight="1"/>
    <row r="22577" ht="15" customHeight="1"/>
    <row r="22578" ht="15" customHeight="1"/>
    <row r="22579" ht="15" customHeight="1"/>
    <row r="22580" ht="15" customHeight="1"/>
    <row r="22581" ht="15" customHeight="1"/>
    <row r="22582" ht="15" customHeight="1"/>
    <row r="22583" ht="15" customHeight="1"/>
    <row r="22584" ht="15" customHeight="1"/>
    <row r="22585" ht="15" customHeight="1"/>
    <row r="22586" ht="15" customHeight="1"/>
    <row r="22587" ht="15" customHeight="1"/>
    <row r="22588" ht="15" customHeight="1"/>
    <row r="22589" ht="15" customHeight="1"/>
    <row r="22590" ht="15" customHeight="1"/>
    <row r="22591" ht="15" customHeight="1"/>
    <row r="22592" ht="15" customHeight="1"/>
    <row r="22593" ht="15" customHeight="1"/>
    <row r="22594" ht="15" customHeight="1"/>
    <row r="22595" ht="15" customHeight="1"/>
    <row r="22596" ht="15" customHeight="1"/>
    <row r="22597" ht="15" customHeight="1"/>
    <row r="22598" ht="15" customHeight="1"/>
    <row r="22599" ht="15" customHeight="1"/>
    <row r="22600" ht="15" customHeight="1"/>
    <row r="22601" ht="15" customHeight="1"/>
    <row r="22602" ht="15" customHeight="1"/>
    <row r="22603" ht="15" customHeight="1"/>
    <row r="22604" ht="15" customHeight="1"/>
    <row r="22605" ht="15" customHeight="1"/>
    <row r="22606" ht="15" customHeight="1"/>
    <row r="22607" ht="15" customHeight="1"/>
    <row r="22608" ht="15" customHeight="1"/>
    <row r="22609" ht="15" customHeight="1"/>
    <row r="22610" ht="15" customHeight="1"/>
    <row r="22611" ht="15" customHeight="1"/>
    <row r="22612" ht="15" customHeight="1"/>
    <row r="22613" ht="15" customHeight="1"/>
    <row r="22614" ht="15" customHeight="1"/>
    <row r="22615" ht="15" customHeight="1"/>
    <row r="22616" ht="15" customHeight="1"/>
    <row r="22617" ht="15" customHeight="1"/>
    <row r="22618" ht="15" customHeight="1"/>
    <row r="22619" ht="15" customHeight="1"/>
    <row r="22620" ht="15" customHeight="1"/>
    <row r="22621" ht="15" customHeight="1"/>
    <row r="22622" ht="15" customHeight="1"/>
    <row r="22623" ht="15" customHeight="1"/>
    <row r="22624" ht="15" customHeight="1"/>
    <row r="22625" ht="15" customHeight="1"/>
    <row r="22626" ht="15" customHeight="1"/>
    <row r="22627" ht="15" customHeight="1"/>
    <row r="22628" ht="15" customHeight="1"/>
    <row r="22629" ht="15" customHeight="1"/>
    <row r="22630" ht="15" customHeight="1"/>
    <row r="22631" ht="15" customHeight="1"/>
    <row r="22632" ht="15" customHeight="1"/>
    <row r="22633" ht="15" customHeight="1"/>
    <row r="22634" ht="15" customHeight="1"/>
    <row r="22635" ht="15" customHeight="1"/>
    <row r="22636" ht="15" customHeight="1"/>
    <row r="22637" ht="15" customHeight="1"/>
    <row r="22638" ht="15" customHeight="1"/>
    <row r="22639" ht="15" customHeight="1"/>
    <row r="22640" ht="15" customHeight="1"/>
    <row r="22641" ht="15" customHeight="1"/>
    <row r="22642" ht="15" customHeight="1"/>
    <row r="22643" ht="15" customHeight="1"/>
    <row r="22644" ht="15" customHeight="1"/>
    <row r="22645" ht="15" customHeight="1"/>
    <row r="22646" ht="15" customHeight="1"/>
    <row r="22647" ht="15" customHeight="1"/>
    <row r="22648" ht="15" customHeight="1"/>
    <row r="22649" ht="15" customHeight="1"/>
    <row r="22650" ht="15" customHeight="1"/>
    <row r="22651" ht="15" customHeight="1"/>
    <row r="22652" ht="15" customHeight="1"/>
    <row r="22653" ht="15" customHeight="1"/>
    <row r="22654" ht="15" customHeight="1"/>
    <row r="22655" ht="15" customHeight="1"/>
    <row r="22656" ht="15" customHeight="1"/>
    <row r="22657" ht="15" customHeight="1"/>
    <row r="22658" ht="15" customHeight="1"/>
    <row r="22659" ht="15" customHeight="1"/>
    <row r="22660" ht="15" customHeight="1"/>
    <row r="22661" ht="15" customHeight="1"/>
    <row r="22662" ht="15" customHeight="1"/>
    <row r="22663" ht="15" customHeight="1"/>
    <row r="22664" ht="15" customHeight="1"/>
    <row r="22665" ht="15" customHeight="1"/>
    <row r="22666" ht="15" customHeight="1"/>
    <row r="22667" ht="15" customHeight="1"/>
    <row r="22668" ht="15" customHeight="1"/>
    <row r="22669" ht="15" customHeight="1"/>
    <row r="22670" ht="15" customHeight="1"/>
    <row r="22671" ht="15" customHeight="1"/>
    <row r="22672" ht="15" customHeight="1"/>
    <row r="22673" ht="15" customHeight="1"/>
    <row r="22674" ht="15" customHeight="1"/>
    <row r="22675" ht="15" customHeight="1"/>
    <row r="22676" ht="15" customHeight="1"/>
    <row r="22677" ht="15" customHeight="1"/>
    <row r="22678" ht="15" customHeight="1"/>
    <row r="22679" ht="15" customHeight="1"/>
    <row r="22680" ht="15" customHeight="1"/>
    <row r="22681" ht="15" customHeight="1"/>
    <row r="22682" ht="15" customHeight="1"/>
    <row r="22683" ht="15" customHeight="1"/>
    <row r="22684" ht="15" customHeight="1"/>
    <row r="22685" ht="15" customHeight="1"/>
    <row r="22686" ht="15" customHeight="1"/>
    <row r="22687" ht="15" customHeight="1"/>
    <row r="22688" ht="15" customHeight="1"/>
    <row r="22689" ht="15" customHeight="1"/>
    <row r="22690" ht="15" customHeight="1"/>
    <row r="22691" ht="15" customHeight="1"/>
    <row r="22692" ht="15" customHeight="1"/>
    <row r="22693" ht="15" customHeight="1"/>
    <row r="22694" ht="15" customHeight="1"/>
    <row r="22695" ht="15" customHeight="1"/>
    <row r="22696" ht="15" customHeight="1"/>
    <row r="22697" ht="15" customHeight="1"/>
    <row r="22698" ht="15" customHeight="1"/>
    <row r="22699" ht="15" customHeight="1"/>
    <row r="22700" ht="15" customHeight="1"/>
    <row r="22701" ht="15" customHeight="1"/>
    <row r="22702" ht="15" customHeight="1"/>
    <row r="22703" ht="15" customHeight="1"/>
    <row r="22704" ht="15" customHeight="1"/>
    <row r="22705" ht="15" customHeight="1"/>
    <row r="22706" ht="15" customHeight="1"/>
    <row r="22707" ht="15" customHeight="1"/>
    <row r="22708" ht="15" customHeight="1"/>
    <row r="22709" ht="15" customHeight="1"/>
    <row r="22710" ht="15" customHeight="1"/>
    <row r="22711" ht="15" customHeight="1"/>
    <row r="22712" ht="15" customHeight="1"/>
    <row r="22713" ht="15" customHeight="1"/>
    <row r="22714" ht="15" customHeight="1"/>
    <row r="22715" ht="15" customHeight="1"/>
    <row r="22716" ht="15" customHeight="1"/>
    <row r="22717" ht="15" customHeight="1"/>
    <row r="22718" ht="15" customHeight="1"/>
    <row r="22719" ht="15" customHeight="1"/>
    <row r="22720" ht="15" customHeight="1"/>
    <row r="22721" ht="15" customHeight="1"/>
    <row r="22722" ht="15" customHeight="1"/>
    <row r="22723" ht="15" customHeight="1"/>
    <row r="22724" ht="15" customHeight="1"/>
    <row r="22725" ht="15" customHeight="1"/>
    <row r="22726" ht="15" customHeight="1"/>
    <row r="22727" ht="15" customHeight="1"/>
    <row r="22728" ht="15" customHeight="1"/>
    <row r="22729" ht="15" customHeight="1"/>
    <row r="22730" ht="15" customHeight="1"/>
    <row r="22731" ht="15" customHeight="1"/>
    <row r="22732" ht="15" customHeight="1"/>
    <row r="22733" ht="15" customHeight="1"/>
    <row r="22734" ht="15" customHeight="1"/>
    <row r="22735" ht="15" customHeight="1"/>
    <row r="22736" ht="15" customHeight="1"/>
    <row r="22737" ht="15" customHeight="1"/>
    <row r="22738" ht="15" customHeight="1"/>
    <row r="22739" ht="15" customHeight="1"/>
    <row r="22740" ht="15" customHeight="1"/>
    <row r="22741" ht="15" customHeight="1"/>
    <row r="22742" ht="15" customHeight="1"/>
    <row r="22743" ht="15" customHeight="1"/>
    <row r="22744" ht="15" customHeight="1"/>
    <row r="22745" ht="15" customHeight="1"/>
    <row r="22746" ht="15" customHeight="1"/>
    <row r="22747" ht="15" customHeight="1"/>
    <row r="22748" ht="15" customHeight="1"/>
    <row r="22749" ht="15" customHeight="1"/>
    <row r="22750" ht="15" customHeight="1"/>
    <row r="22751" ht="15" customHeight="1"/>
    <row r="22752" ht="15" customHeight="1"/>
    <row r="22753" ht="15" customHeight="1"/>
    <row r="22754" ht="15" customHeight="1"/>
    <row r="22755" ht="15" customHeight="1"/>
    <row r="22756" ht="15" customHeight="1"/>
    <row r="22757" ht="15" customHeight="1"/>
    <row r="22758" ht="15" customHeight="1"/>
    <row r="22759" ht="15" customHeight="1"/>
    <row r="22760" ht="15" customHeight="1"/>
    <row r="22761" ht="15" customHeight="1"/>
    <row r="22762" ht="15" customHeight="1"/>
    <row r="22763" ht="15" customHeight="1"/>
    <row r="22764" ht="15" customHeight="1"/>
    <row r="22765" ht="15" customHeight="1"/>
    <row r="22766" ht="15" customHeight="1"/>
    <row r="22767" ht="15" customHeight="1"/>
    <row r="22768" ht="15" customHeight="1"/>
    <row r="22769" ht="15" customHeight="1"/>
    <row r="22770" ht="15" customHeight="1"/>
    <row r="22771" ht="15" customHeight="1"/>
    <row r="22772" ht="15" customHeight="1"/>
    <row r="22773" ht="15" customHeight="1"/>
    <row r="22774" ht="15" customHeight="1"/>
    <row r="22775" ht="15" customHeight="1"/>
    <row r="22776" ht="15" customHeight="1"/>
    <row r="22777" ht="15" customHeight="1"/>
    <row r="22778" ht="15" customHeight="1"/>
    <row r="22779" ht="15" customHeight="1"/>
    <row r="22780" ht="15" customHeight="1"/>
    <row r="22781" ht="15" customHeight="1"/>
    <row r="22782" ht="15" customHeight="1"/>
    <row r="22783" ht="15" customHeight="1"/>
    <row r="22784" ht="15" customHeight="1"/>
    <row r="22785" ht="15" customHeight="1"/>
    <row r="22786" ht="15" customHeight="1"/>
    <row r="22787" ht="15" customHeight="1"/>
    <row r="22788" ht="15" customHeight="1"/>
    <row r="22789" ht="15" customHeight="1"/>
    <row r="22790" ht="15" customHeight="1"/>
    <row r="22791" ht="15" customHeight="1"/>
    <row r="22792" ht="15" customHeight="1"/>
    <row r="22793" ht="15" customHeight="1"/>
    <row r="22794" ht="15" customHeight="1"/>
    <row r="22795" ht="15" customHeight="1"/>
    <row r="22796" ht="15" customHeight="1"/>
    <row r="22797" ht="15" customHeight="1"/>
    <row r="22798" ht="15" customHeight="1"/>
    <row r="22799" ht="15" customHeight="1"/>
    <row r="22800" ht="15" customHeight="1"/>
    <row r="22801" ht="15" customHeight="1"/>
    <row r="22802" ht="15" customHeight="1"/>
    <row r="22803" ht="15" customHeight="1"/>
    <row r="22804" ht="15" customHeight="1"/>
    <row r="22805" ht="15" customHeight="1"/>
    <row r="22806" ht="15" customHeight="1"/>
    <row r="22807" ht="15" customHeight="1"/>
    <row r="22808" ht="15" customHeight="1"/>
    <row r="22809" ht="15" customHeight="1"/>
    <row r="22810" ht="15" customHeight="1"/>
    <row r="22811" ht="15" customHeight="1"/>
    <row r="22812" ht="15" customHeight="1"/>
    <row r="22813" ht="15" customHeight="1"/>
    <row r="22814" ht="15" customHeight="1"/>
    <row r="22815" ht="15" customHeight="1"/>
    <row r="22816" ht="15" customHeight="1"/>
    <row r="22817" ht="15" customHeight="1"/>
    <row r="22818" ht="15" customHeight="1"/>
    <row r="22819" ht="15" customHeight="1"/>
    <row r="22820" ht="15" customHeight="1"/>
    <row r="22821" ht="15" customHeight="1"/>
    <row r="22822" ht="15" customHeight="1"/>
    <row r="22823" ht="15" customHeight="1"/>
    <row r="22824" ht="15" customHeight="1"/>
    <row r="22825" ht="15" customHeight="1"/>
    <row r="22826" ht="15" customHeight="1"/>
    <row r="22827" ht="15" customHeight="1"/>
    <row r="22828" ht="15" customHeight="1"/>
    <row r="22829" ht="15" customHeight="1"/>
    <row r="22830" ht="15" customHeight="1"/>
    <row r="22831" ht="15" customHeight="1"/>
    <row r="22832" ht="15" customHeight="1"/>
    <row r="22833" ht="15" customHeight="1"/>
    <row r="22834" ht="15" customHeight="1"/>
    <row r="22835" ht="15" customHeight="1"/>
    <row r="22836" ht="15" customHeight="1"/>
    <row r="22837" ht="15" customHeight="1"/>
    <row r="22838" ht="15" customHeight="1"/>
    <row r="22839" ht="15" customHeight="1"/>
    <row r="22840" ht="15" customHeight="1"/>
    <row r="22841" ht="15" customHeight="1"/>
    <row r="22842" ht="15" customHeight="1"/>
    <row r="22843" ht="15" customHeight="1"/>
    <row r="22844" ht="15" customHeight="1"/>
    <row r="22845" ht="15" customHeight="1"/>
    <row r="22846" ht="15" customHeight="1"/>
    <row r="22847" ht="15" customHeight="1"/>
    <row r="22848" ht="15" customHeight="1"/>
    <row r="22849" ht="15" customHeight="1"/>
    <row r="22850" ht="15" customHeight="1"/>
    <row r="22851" ht="15" customHeight="1"/>
    <row r="22852" ht="15" customHeight="1"/>
    <row r="22853" ht="15" customHeight="1"/>
    <row r="22854" ht="15" customHeight="1"/>
    <row r="22855" ht="15" customHeight="1"/>
    <row r="22856" ht="15" customHeight="1"/>
    <row r="22857" ht="15" customHeight="1"/>
    <row r="22858" ht="15" customHeight="1"/>
    <row r="22859" ht="15" customHeight="1"/>
    <row r="22860" ht="15" customHeight="1"/>
    <row r="22861" ht="15" customHeight="1"/>
    <row r="22862" ht="15" customHeight="1"/>
    <row r="22863" ht="15" customHeight="1"/>
    <row r="22864" ht="15" customHeight="1"/>
    <row r="22865" ht="15" customHeight="1"/>
    <row r="22866" ht="15" customHeight="1"/>
    <row r="22867" ht="15" customHeight="1"/>
    <row r="22868" ht="15" customHeight="1"/>
    <row r="22869" ht="15" customHeight="1"/>
    <row r="22870" ht="15" customHeight="1"/>
    <row r="22871" ht="15" customHeight="1"/>
    <row r="22872" ht="15" customHeight="1"/>
    <row r="22873" ht="15" customHeight="1"/>
    <row r="22874" ht="15" customHeight="1"/>
    <row r="22875" ht="15" customHeight="1"/>
    <row r="22876" ht="15" customHeight="1"/>
    <row r="22877" ht="15" customHeight="1"/>
    <row r="22878" ht="15" customHeight="1"/>
    <row r="22879" ht="15" customHeight="1"/>
    <row r="22880" ht="15" customHeight="1"/>
    <row r="22881" ht="15" customHeight="1"/>
    <row r="22882" ht="15" customHeight="1"/>
    <row r="22883" ht="15" customHeight="1"/>
    <row r="22884" ht="15" customHeight="1"/>
    <row r="22885" ht="15" customHeight="1"/>
    <row r="22886" ht="15" customHeight="1"/>
    <row r="22887" ht="15" customHeight="1"/>
    <row r="22888" ht="15" customHeight="1"/>
    <row r="22889" ht="15" customHeight="1"/>
    <row r="22890" ht="15" customHeight="1"/>
    <row r="22891" ht="15" customHeight="1"/>
    <row r="22892" ht="15" customHeight="1"/>
    <row r="22893" ht="15" customHeight="1"/>
    <row r="22894" ht="15" customHeight="1"/>
    <row r="22895" ht="15" customHeight="1"/>
    <row r="22896" ht="15" customHeight="1"/>
    <row r="22897" ht="15" customHeight="1"/>
    <row r="22898" ht="15" customHeight="1"/>
    <row r="22899" ht="15" customHeight="1"/>
    <row r="22900" ht="15" customHeight="1"/>
    <row r="22901" ht="15" customHeight="1"/>
    <row r="22902" ht="15" customHeight="1"/>
    <row r="22903" ht="15" customHeight="1"/>
    <row r="22904" ht="15" customHeight="1"/>
    <row r="22905" ht="15" customHeight="1"/>
    <row r="22906" ht="15" customHeight="1"/>
    <row r="22907" ht="15" customHeight="1"/>
    <row r="22908" ht="15" customHeight="1"/>
    <row r="22909" ht="15" customHeight="1"/>
    <row r="22910" ht="15" customHeight="1"/>
    <row r="22911" ht="15" customHeight="1"/>
    <row r="22912" ht="15" customHeight="1"/>
    <row r="22913" ht="15" customHeight="1"/>
    <row r="22914" ht="15" customHeight="1"/>
    <row r="22915" ht="15" customHeight="1"/>
    <row r="22916" ht="15" customHeight="1"/>
    <row r="22917" ht="15" customHeight="1"/>
    <row r="22918" ht="15" customHeight="1"/>
    <row r="22919" ht="15" customHeight="1"/>
    <row r="22920" ht="15" customHeight="1"/>
    <row r="22921" ht="15" customHeight="1"/>
    <row r="22922" ht="15" customHeight="1"/>
    <row r="22923" ht="15" customHeight="1"/>
    <row r="22924" ht="15" customHeight="1"/>
    <row r="22925" ht="15" customHeight="1"/>
    <row r="22926" ht="15" customHeight="1"/>
    <row r="22927" ht="15" customHeight="1"/>
    <row r="22928" ht="15" customHeight="1"/>
    <row r="22929" ht="15" customHeight="1"/>
    <row r="22930" ht="15" customHeight="1"/>
    <row r="22931" ht="15" customHeight="1"/>
    <row r="22932" ht="15" customHeight="1"/>
    <row r="22933" ht="15" customHeight="1"/>
    <row r="22934" ht="15" customHeight="1"/>
    <row r="22935" ht="15" customHeight="1"/>
    <row r="22936" ht="15" customHeight="1"/>
    <row r="22937" ht="15" customHeight="1"/>
    <row r="22938" ht="15" customHeight="1"/>
    <row r="22939" ht="15" customHeight="1"/>
    <row r="22940" ht="15" customHeight="1"/>
    <row r="22941" ht="15" customHeight="1"/>
    <row r="22942" ht="15" customHeight="1"/>
    <row r="22943" ht="15" customHeight="1"/>
    <row r="22944" ht="15" customHeight="1"/>
    <row r="22945" ht="15" customHeight="1"/>
    <row r="22946" ht="15" customHeight="1"/>
    <row r="22947" ht="15" customHeight="1"/>
    <row r="22948" ht="15" customHeight="1"/>
    <row r="22949" ht="15" customHeight="1"/>
    <row r="22950" ht="15" customHeight="1"/>
    <row r="22951" ht="15" customHeight="1"/>
    <row r="22952" ht="15" customHeight="1"/>
    <row r="22953" ht="15" customHeight="1"/>
    <row r="22954" ht="15" customHeight="1"/>
    <row r="22955" ht="15" customHeight="1"/>
    <row r="22956" ht="15" customHeight="1"/>
    <row r="22957" ht="15" customHeight="1"/>
    <row r="22958" ht="15" customHeight="1"/>
    <row r="22959" ht="15" customHeight="1"/>
    <row r="22960" ht="15" customHeight="1"/>
    <row r="22961" ht="15" customHeight="1"/>
    <row r="22962" ht="15" customHeight="1"/>
    <row r="22963" ht="15" customHeight="1"/>
    <row r="22964" ht="15" customHeight="1"/>
    <row r="22965" ht="15" customHeight="1"/>
    <row r="22966" ht="15" customHeight="1"/>
    <row r="22967" ht="15" customHeight="1"/>
    <row r="22968" ht="15" customHeight="1"/>
    <row r="22969" ht="15" customHeight="1"/>
    <row r="22970" ht="15" customHeight="1"/>
    <row r="22971" ht="15" customHeight="1"/>
    <row r="22972" ht="15" customHeight="1"/>
    <row r="22973" ht="15" customHeight="1"/>
    <row r="22974" ht="15" customHeight="1"/>
    <row r="22975" ht="15" customHeight="1"/>
    <row r="22976" ht="15" customHeight="1"/>
    <row r="22977" ht="15" customHeight="1"/>
    <row r="22978" ht="15" customHeight="1"/>
    <row r="22979" ht="15" customHeight="1"/>
    <row r="22980" ht="15" customHeight="1"/>
    <row r="22981" ht="15" customHeight="1"/>
    <row r="22982" ht="15" customHeight="1"/>
    <row r="22983" ht="15" customHeight="1"/>
    <row r="22984" ht="15" customHeight="1"/>
    <row r="22985" ht="15" customHeight="1"/>
    <row r="22986" ht="15" customHeight="1"/>
    <row r="22987" ht="15" customHeight="1"/>
    <row r="22988" ht="15" customHeight="1"/>
    <row r="22989" ht="15" customHeight="1"/>
    <row r="22990" ht="15" customHeight="1"/>
    <row r="22991" ht="15" customHeight="1"/>
    <row r="22992" ht="15" customHeight="1"/>
    <row r="22993" ht="15" customHeight="1"/>
    <row r="22994" ht="15" customHeight="1"/>
    <row r="22995" ht="15" customHeight="1"/>
    <row r="22996" ht="15" customHeight="1"/>
    <row r="22997" ht="15" customHeight="1"/>
    <row r="22998" ht="15" customHeight="1"/>
    <row r="22999" ht="15" customHeight="1"/>
    <row r="23000" ht="15" customHeight="1"/>
    <row r="23001" ht="15" customHeight="1"/>
    <row r="23002" ht="15" customHeight="1"/>
    <row r="23003" ht="15" customHeight="1"/>
    <row r="23004" ht="15" customHeight="1"/>
    <row r="23005" ht="15" customHeight="1"/>
    <row r="23006" ht="15" customHeight="1"/>
    <row r="23007" ht="15" customHeight="1"/>
    <row r="23008" ht="15" customHeight="1"/>
    <row r="23009" ht="15" customHeight="1"/>
    <row r="23010" ht="15" customHeight="1"/>
    <row r="23011" ht="15" customHeight="1"/>
    <row r="23012" ht="15" customHeight="1"/>
    <row r="23013" ht="15" customHeight="1"/>
    <row r="23014" ht="15" customHeight="1"/>
    <row r="23015" ht="15" customHeight="1"/>
    <row r="23016" ht="15" customHeight="1"/>
    <row r="23017" ht="15" customHeight="1"/>
    <row r="23018" ht="15" customHeight="1"/>
    <row r="23019" ht="15" customHeight="1"/>
    <row r="23020" ht="15" customHeight="1"/>
    <row r="23021" ht="15" customHeight="1"/>
    <row r="23022" ht="15" customHeight="1"/>
    <row r="23023" ht="15" customHeight="1"/>
    <row r="23024" ht="15" customHeight="1"/>
    <row r="23025" ht="15" customHeight="1"/>
    <row r="23026" ht="15" customHeight="1"/>
    <row r="23027" ht="15" customHeight="1"/>
    <row r="23028" ht="15" customHeight="1"/>
    <row r="23029" ht="15" customHeight="1"/>
    <row r="23030" ht="15" customHeight="1"/>
    <row r="23031" ht="15" customHeight="1"/>
    <row r="23032" ht="15" customHeight="1"/>
    <row r="23033" ht="15" customHeight="1"/>
    <row r="23034" ht="15" customHeight="1"/>
    <row r="23035" ht="15" customHeight="1"/>
    <row r="23036" ht="15" customHeight="1"/>
    <row r="23037" ht="15" customHeight="1"/>
    <row r="23038" ht="15" customHeight="1"/>
    <row r="23039" ht="15" customHeight="1"/>
    <row r="23040" ht="15" customHeight="1"/>
    <row r="23041" ht="15" customHeight="1"/>
    <row r="23042" ht="15" customHeight="1"/>
    <row r="23043" ht="15" customHeight="1"/>
    <row r="23044" ht="15" customHeight="1"/>
    <row r="23045" ht="15" customHeight="1"/>
    <row r="23046" ht="15" customHeight="1"/>
    <row r="23047" ht="15" customHeight="1"/>
    <row r="23048" ht="15" customHeight="1"/>
    <row r="23049" ht="15" customHeight="1"/>
    <row r="23050" ht="15" customHeight="1"/>
    <row r="23051" ht="15" customHeight="1"/>
    <row r="23052" ht="15" customHeight="1"/>
    <row r="23053" ht="15" customHeight="1"/>
    <row r="23054" ht="15" customHeight="1"/>
    <row r="23055" ht="15" customHeight="1"/>
    <row r="23056" ht="15" customHeight="1"/>
    <row r="23057" ht="15" customHeight="1"/>
    <row r="23058" ht="15" customHeight="1"/>
    <row r="23059" ht="15" customHeight="1"/>
    <row r="23060" ht="15" customHeight="1"/>
    <row r="23061" ht="15" customHeight="1"/>
    <row r="23062" ht="15" customHeight="1"/>
    <row r="23063" ht="15" customHeight="1"/>
    <row r="23064" ht="15" customHeight="1"/>
    <row r="23065" ht="15" customHeight="1"/>
    <row r="23066" ht="15" customHeight="1"/>
    <row r="23067" ht="15" customHeight="1"/>
    <row r="23068" ht="15" customHeight="1"/>
    <row r="23069" ht="15" customHeight="1"/>
    <row r="23070" ht="15" customHeight="1"/>
    <row r="23071" ht="15" customHeight="1"/>
    <row r="23072" ht="15" customHeight="1"/>
    <row r="23073" ht="15" customHeight="1"/>
    <row r="23074" ht="15" customHeight="1"/>
    <row r="23075" ht="15" customHeight="1"/>
    <row r="23076" ht="15" customHeight="1"/>
    <row r="23077" ht="15" customHeight="1"/>
    <row r="23078" ht="15" customHeight="1"/>
    <row r="23079" ht="15" customHeight="1"/>
    <row r="23080" ht="15" customHeight="1"/>
    <row r="23081" ht="15" customHeight="1"/>
    <row r="23082" ht="15" customHeight="1"/>
    <row r="23083" ht="15" customHeight="1"/>
    <row r="23084" ht="15" customHeight="1"/>
    <row r="23085" ht="15" customHeight="1"/>
    <row r="23086" ht="15" customHeight="1"/>
    <row r="23087" ht="15" customHeight="1"/>
    <row r="23088" ht="15" customHeight="1"/>
    <row r="23089" ht="15" customHeight="1"/>
    <row r="23090" ht="15" customHeight="1"/>
    <row r="23091" ht="15" customHeight="1"/>
    <row r="23092" ht="15" customHeight="1"/>
    <row r="23093" ht="15" customHeight="1"/>
    <row r="23094" ht="15" customHeight="1"/>
    <row r="23095" ht="15" customHeight="1"/>
    <row r="23096" ht="15" customHeight="1"/>
    <row r="23097" ht="15" customHeight="1"/>
    <row r="23098" ht="15" customHeight="1"/>
    <row r="23099" ht="15" customHeight="1"/>
    <row r="23100" ht="15" customHeight="1"/>
    <row r="23101" ht="15" customHeight="1"/>
    <row r="23102" ht="15" customHeight="1"/>
    <row r="23103" ht="15" customHeight="1"/>
    <row r="23104" ht="15" customHeight="1"/>
    <row r="23105" ht="15" customHeight="1"/>
    <row r="23106" ht="15" customHeight="1"/>
    <row r="23107" ht="15" customHeight="1"/>
    <row r="23108" ht="15" customHeight="1"/>
    <row r="23109" ht="15" customHeight="1"/>
    <row r="23110" ht="15" customHeight="1"/>
    <row r="23111" ht="15" customHeight="1"/>
    <row r="23112" ht="15" customHeight="1"/>
    <row r="23113" ht="15" customHeight="1"/>
    <row r="23114" ht="15" customHeight="1"/>
    <row r="23115" ht="15" customHeight="1"/>
    <row r="23116" ht="15" customHeight="1"/>
    <row r="23117" ht="15" customHeight="1"/>
    <row r="23118" ht="15" customHeight="1"/>
    <row r="23119" ht="15" customHeight="1"/>
    <row r="23120" ht="15" customHeight="1"/>
    <row r="23121" ht="15" customHeight="1"/>
    <row r="23122" ht="15" customHeight="1"/>
    <row r="23123" ht="15" customHeight="1"/>
    <row r="23124" ht="15" customHeight="1"/>
    <row r="23125" ht="15" customHeight="1"/>
    <row r="23126" ht="15" customHeight="1"/>
    <row r="23127" ht="15" customHeight="1"/>
    <row r="23128" ht="15" customHeight="1"/>
    <row r="23129" ht="15" customHeight="1"/>
    <row r="23130" ht="15" customHeight="1"/>
    <row r="23131" ht="15" customHeight="1"/>
    <row r="23132" ht="15" customHeight="1"/>
    <row r="23133" ht="15" customHeight="1"/>
    <row r="23134" ht="15" customHeight="1"/>
    <row r="23135" ht="15" customHeight="1"/>
    <row r="23136" ht="15" customHeight="1"/>
    <row r="23137" ht="15" customHeight="1"/>
    <row r="23138" ht="15" customHeight="1"/>
    <row r="23139" ht="15" customHeight="1"/>
    <row r="23140" ht="15" customHeight="1"/>
    <row r="23141" ht="15" customHeight="1"/>
    <row r="23142" ht="15" customHeight="1"/>
    <row r="23143" ht="15" customHeight="1"/>
    <row r="23144" ht="15" customHeight="1"/>
    <row r="23145" ht="15" customHeight="1"/>
    <row r="23146" ht="15" customHeight="1"/>
    <row r="23147" ht="15" customHeight="1"/>
    <row r="23148" ht="15" customHeight="1"/>
    <row r="23149" ht="15" customHeight="1"/>
    <row r="23150" ht="15" customHeight="1"/>
    <row r="23151" ht="15" customHeight="1"/>
    <row r="23152" ht="15" customHeight="1"/>
    <row r="23153" ht="15" customHeight="1"/>
    <row r="23154" ht="15" customHeight="1"/>
    <row r="23155" ht="15" customHeight="1"/>
    <row r="23156" ht="15" customHeight="1"/>
    <row r="23157" ht="15" customHeight="1"/>
    <row r="23158" ht="15" customHeight="1"/>
    <row r="23159" ht="15" customHeight="1"/>
    <row r="23160" ht="15" customHeight="1"/>
    <row r="23161" ht="15" customHeight="1"/>
    <row r="23162" ht="15" customHeight="1"/>
    <row r="23163" ht="15" customHeight="1"/>
    <row r="23164" ht="15" customHeight="1"/>
    <row r="23165" ht="15" customHeight="1"/>
    <row r="23166" ht="15" customHeight="1"/>
    <row r="23167" ht="15" customHeight="1"/>
    <row r="23168" ht="15" customHeight="1"/>
    <row r="23169" ht="15" customHeight="1"/>
    <row r="23170" ht="15" customHeight="1"/>
    <row r="23171" ht="15" customHeight="1"/>
    <row r="23172" ht="15" customHeight="1"/>
    <row r="23173" ht="15" customHeight="1"/>
    <row r="23174" ht="15" customHeight="1"/>
    <row r="23175" ht="15" customHeight="1"/>
    <row r="23176" ht="15" customHeight="1"/>
    <row r="23177" ht="15" customHeight="1"/>
    <row r="23178" ht="15" customHeight="1"/>
    <row r="23179" ht="15" customHeight="1"/>
    <row r="23180" ht="15" customHeight="1"/>
    <row r="23181" ht="15" customHeight="1"/>
    <row r="23182" ht="15" customHeight="1"/>
    <row r="23183" ht="15" customHeight="1"/>
    <row r="23184" ht="15" customHeight="1"/>
    <row r="23185" ht="15" customHeight="1"/>
    <row r="23186" ht="15" customHeight="1"/>
    <row r="23187" ht="15" customHeight="1"/>
    <row r="23188" ht="15" customHeight="1"/>
    <row r="23189" ht="15" customHeight="1"/>
    <row r="23190" ht="15" customHeight="1"/>
    <row r="23191" ht="15" customHeight="1"/>
    <row r="23192" ht="15" customHeight="1"/>
    <row r="23193" ht="15" customHeight="1"/>
    <row r="23194" ht="15" customHeight="1"/>
    <row r="23195" ht="15" customHeight="1"/>
    <row r="23196" ht="15" customHeight="1"/>
    <row r="23197" ht="15" customHeight="1"/>
    <row r="23198" ht="15" customHeight="1"/>
    <row r="23199" ht="15" customHeight="1"/>
    <row r="23200" ht="15" customHeight="1"/>
    <row r="23201" ht="15" customHeight="1"/>
    <row r="23202" ht="15" customHeight="1"/>
    <row r="23203" ht="15" customHeight="1"/>
    <row r="23204" ht="15" customHeight="1"/>
    <row r="23205" ht="15" customHeight="1"/>
    <row r="23206" ht="15" customHeight="1"/>
    <row r="23207" ht="15" customHeight="1"/>
    <row r="23208" ht="15" customHeight="1"/>
    <row r="23209" ht="15" customHeight="1"/>
    <row r="23210" ht="15" customHeight="1"/>
    <row r="23211" ht="15" customHeight="1"/>
    <row r="23212" ht="15" customHeight="1"/>
    <row r="23213" ht="15" customHeight="1"/>
    <row r="23214" ht="15" customHeight="1"/>
    <row r="23215" ht="15" customHeight="1"/>
    <row r="23216" ht="15" customHeight="1"/>
    <row r="23217" ht="15" customHeight="1"/>
    <row r="23218" ht="15" customHeight="1"/>
    <row r="23219" ht="15" customHeight="1"/>
    <row r="23220" ht="15" customHeight="1"/>
    <row r="23221" ht="15" customHeight="1"/>
    <row r="23222" ht="15" customHeight="1"/>
    <row r="23223" ht="15" customHeight="1"/>
    <row r="23224" ht="15" customHeight="1"/>
    <row r="23225" ht="15" customHeight="1"/>
    <row r="23226" ht="15" customHeight="1"/>
    <row r="23227" ht="15" customHeight="1"/>
    <row r="23228" ht="15" customHeight="1"/>
    <row r="23229" ht="15" customHeight="1"/>
    <row r="23230" ht="15" customHeight="1"/>
    <row r="23231" ht="15" customHeight="1"/>
    <row r="23232" ht="15" customHeight="1"/>
    <row r="23233" ht="15" customHeight="1"/>
    <row r="23234" ht="15" customHeight="1"/>
    <row r="23235" ht="15" customHeight="1"/>
    <row r="23236" ht="15" customHeight="1"/>
    <row r="23237" ht="15" customHeight="1"/>
    <row r="23238" ht="15" customHeight="1"/>
    <row r="23239" ht="15" customHeight="1"/>
    <row r="23240" ht="15" customHeight="1"/>
    <row r="23241" ht="15" customHeight="1"/>
    <row r="23242" ht="15" customHeight="1"/>
    <row r="23243" ht="15" customHeight="1"/>
    <row r="23244" ht="15" customHeight="1"/>
    <row r="23245" ht="15" customHeight="1"/>
    <row r="23246" ht="15" customHeight="1"/>
    <row r="23247" ht="15" customHeight="1"/>
    <row r="23248" ht="15" customHeight="1"/>
    <row r="23249" ht="15" customHeight="1"/>
    <row r="23250" ht="15" customHeight="1"/>
    <row r="23251" ht="15" customHeight="1"/>
    <row r="23252" ht="15" customHeight="1"/>
    <row r="23253" ht="15" customHeight="1"/>
    <row r="23254" ht="15" customHeight="1"/>
    <row r="23255" ht="15" customHeight="1"/>
    <row r="23256" ht="15" customHeight="1"/>
    <row r="23257" ht="15" customHeight="1"/>
    <row r="23258" ht="15" customHeight="1"/>
    <row r="23259" ht="15" customHeight="1"/>
    <row r="23260" ht="15" customHeight="1"/>
    <row r="23261" ht="15" customHeight="1"/>
    <row r="23262" ht="15" customHeight="1"/>
    <row r="23263" ht="15" customHeight="1"/>
    <row r="23264" ht="15" customHeight="1"/>
    <row r="23265" ht="15" customHeight="1"/>
    <row r="23266" ht="15" customHeight="1"/>
    <row r="23267" ht="15" customHeight="1"/>
    <row r="23268" ht="15" customHeight="1"/>
    <row r="23269" ht="15" customHeight="1"/>
    <row r="23270" ht="15" customHeight="1"/>
    <row r="23271" ht="15" customHeight="1"/>
    <row r="23272" ht="15" customHeight="1"/>
    <row r="23273" ht="15" customHeight="1"/>
    <row r="23274" ht="15" customHeight="1"/>
    <row r="23275" ht="15" customHeight="1"/>
    <row r="23276" ht="15" customHeight="1"/>
    <row r="23277" ht="15" customHeight="1"/>
    <row r="23278" ht="15" customHeight="1"/>
    <row r="23279" ht="15" customHeight="1"/>
    <row r="23280" ht="15" customHeight="1"/>
    <row r="23281" ht="15" customHeight="1"/>
    <row r="23282" ht="15" customHeight="1"/>
    <row r="23283" ht="15" customHeight="1"/>
    <row r="23284" ht="15" customHeight="1"/>
    <row r="23285" ht="15" customHeight="1"/>
    <row r="23286" ht="15" customHeight="1"/>
    <row r="23287" ht="15" customHeight="1"/>
    <row r="23288" ht="15" customHeight="1"/>
    <row r="23289" ht="15" customHeight="1"/>
    <row r="23290" ht="15" customHeight="1"/>
    <row r="23291" ht="15" customHeight="1"/>
    <row r="23292" ht="15" customHeight="1"/>
    <row r="23293" ht="15" customHeight="1"/>
    <row r="23294" ht="15" customHeight="1"/>
    <row r="23295" ht="15" customHeight="1"/>
    <row r="23296" ht="15" customHeight="1"/>
    <row r="23297" ht="15" customHeight="1"/>
    <row r="23298" ht="15" customHeight="1"/>
    <row r="23299" ht="15" customHeight="1"/>
    <row r="23300" ht="15" customHeight="1"/>
    <row r="23301" ht="15" customHeight="1"/>
    <row r="23302" ht="15" customHeight="1"/>
    <row r="23303" ht="15" customHeight="1"/>
    <row r="23304" ht="15" customHeight="1"/>
    <row r="23305" ht="15" customHeight="1"/>
    <row r="23306" ht="15" customHeight="1"/>
    <row r="23307" ht="15" customHeight="1"/>
    <row r="23308" ht="15" customHeight="1"/>
    <row r="23309" ht="15" customHeight="1"/>
    <row r="23310" ht="15" customHeight="1"/>
    <row r="23311" ht="15" customHeight="1"/>
    <row r="23312" ht="15" customHeight="1"/>
    <row r="23313" ht="15" customHeight="1"/>
    <row r="23314" ht="15" customHeight="1"/>
    <row r="23315" ht="15" customHeight="1"/>
    <row r="23316" ht="15" customHeight="1"/>
    <row r="23317" ht="15" customHeight="1"/>
    <row r="23318" ht="15" customHeight="1"/>
    <row r="23319" ht="15" customHeight="1"/>
    <row r="23320" ht="15" customHeight="1"/>
    <row r="23321" ht="15" customHeight="1"/>
    <row r="23322" ht="15" customHeight="1"/>
    <row r="23323" ht="15" customHeight="1"/>
    <row r="23324" ht="15" customHeight="1"/>
    <row r="23325" ht="15" customHeight="1"/>
    <row r="23326" ht="15" customHeight="1"/>
    <row r="23327" ht="15" customHeight="1"/>
    <row r="23328" ht="15" customHeight="1"/>
    <row r="23329" ht="15" customHeight="1"/>
    <row r="23330" ht="15" customHeight="1"/>
    <row r="23331" ht="15" customHeight="1"/>
    <row r="23332" ht="15" customHeight="1"/>
    <row r="23333" ht="15" customHeight="1"/>
    <row r="23334" ht="15" customHeight="1"/>
    <row r="23335" ht="15" customHeight="1"/>
    <row r="23336" ht="15" customHeight="1"/>
    <row r="23337" ht="15" customHeight="1"/>
    <row r="23338" ht="15" customHeight="1"/>
    <row r="23339" ht="15" customHeight="1"/>
    <row r="23340" ht="15" customHeight="1"/>
    <row r="23341" ht="15" customHeight="1"/>
    <row r="23342" ht="15" customHeight="1"/>
    <row r="23343" ht="15" customHeight="1"/>
    <row r="23344" ht="15" customHeight="1"/>
    <row r="23345" ht="15" customHeight="1"/>
    <row r="23346" ht="15" customHeight="1"/>
    <row r="23347" ht="15" customHeight="1"/>
    <row r="23348" ht="15" customHeight="1"/>
    <row r="23349" ht="15" customHeight="1"/>
    <row r="23350" ht="15" customHeight="1"/>
    <row r="23351" ht="15" customHeight="1"/>
    <row r="23352" ht="15" customHeight="1"/>
    <row r="23353" ht="15" customHeight="1"/>
    <row r="23354" ht="15" customHeight="1"/>
    <row r="23355" ht="15" customHeight="1"/>
    <row r="23356" ht="15" customHeight="1"/>
    <row r="23357" ht="15" customHeight="1"/>
    <row r="23358" ht="15" customHeight="1"/>
    <row r="23359" ht="15" customHeight="1"/>
    <row r="23360" ht="15" customHeight="1"/>
    <row r="23361" ht="15" customHeight="1"/>
    <row r="23362" ht="15" customHeight="1"/>
    <row r="23363" ht="15" customHeight="1"/>
    <row r="23364" ht="15" customHeight="1"/>
    <row r="23365" ht="15" customHeight="1"/>
    <row r="23366" ht="15" customHeight="1"/>
    <row r="23367" ht="15" customHeight="1"/>
    <row r="23368" ht="15" customHeight="1"/>
    <row r="23369" ht="15" customHeight="1"/>
    <row r="23370" ht="15" customHeight="1"/>
    <row r="23371" ht="15" customHeight="1"/>
    <row r="23372" ht="15" customHeight="1"/>
    <row r="23373" ht="15" customHeight="1"/>
    <row r="23374" ht="15" customHeight="1"/>
    <row r="23375" ht="15" customHeight="1"/>
    <row r="23376" ht="15" customHeight="1"/>
    <row r="23377" ht="15" customHeight="1"/>
    <row r="23378" ht="15" customHeight="1"/>
    <row r="23379" ht="15" customHeight="1"/>
    <row r="23380" ht="15" customHeight="1"/>
    <row r="23381" ht="15" customHeight="1"/>
    <row r="23382" ht="15" customHeight="1"/>
    <row r="23383" ht="15" customHeight="1"/>
    <row r="23384" ht="15" customHeight="1"/>
    <row r="23385" ht="15" customHeight="1"/>
    <row r="23386" ht="15" customHeight="1"/>
    <row r="23387" ht="15" customHeight="1"/>
    <row r="23388" ht="15" customHeight="1"/>
    <row r="23389" ht="15" customHeight="1"/>
    <row r="23390" ht="15" customHeight="1"/>
    <row r="23391" ht="15" customHeight="1"/>
    <row r="23392" ht="15" customHeight="1"/>
    <row r="23393" ht="15" customHeight="1"/>
    <row r="23394" ht="15" customHeight="1"/>
    <row r="23395" ht="15" customHeight="1"/>
    <row r="23396" ht="15" customHeight="1"/>
    <row r="23397" ht="15" customHeight="1"/>
    <row r="23398" ht="15" customHeight="1"/>
    <row r="23399" ht="15" customHeight="1"/>
    <row r="23400" ht="15" customHeight="1"/>
    <row r="23401" ht="15" customHeight="1"/>
    <row r="23402" ht="15" customHeight="1"/>
    <row r="23403" ht="15" customHeight="1"/>
    <row r="23404" ht="15" customHeight="1"/>
    <row r="23405" ht="15" customHeight="1"/>
    <row r="23406" ht="15" customHeight="1"/>
    <row r="23407" ht="15" customHeight="1"/>
    <row r="23408" ht="15" customHeight="1"/>
    <row r="23409" ht="15" customHeight="1"/>
    <row r="23410" ht="15" customHeight="1"/>
    <row r="23411" ht="15" customHeight="1"/>
    <row r="23412" ht="15" customHeight="1"/>
    <row r="23413" ht="15" customHeight="1"/>
    <row r="23414" ht="15" customHeight="1"/>
    <row r="23415" ht="15" customHeight="1"/>
    <row r="23416" ht="15" customHeight="1"/>
    <row r="23417" ht="15" customHeight="1"/>
    <row r="23418" ht="15" customHeight="1"/>
    <row r="23419" ht="15" customHeight="1"/>
    <row r="23420" ht="15" customHeight="1"/>
    <row r="23421" ht="15" customHeight="1"/>
    <row r="23422" ht="15" customHeight="1"/>
    <row r="23423" ht="15" customHeight="1"/>
    <row r="23424" ht="15" customHeight="1"/>
    <row r="23425" ht="15" customHeight="1"/>
    <row r="23426" ht="15" customHeight="1"/>
    <row r="23427" ht="15" customHeight="1"/>
    <row r="23428" ht="15" customHeight="1"/>
    <row r="23429" ht="15" customHeight="1"/>
    <row r="23430" ht="15" customHeight="1"/>
    <row r="23431" ht="15" customHeight="1"/>
    <row r="23432" ht="15" customHeight="1"/>
    <row r="23433" ht="15" customHeight="1"/>
    <row r="23434" ht="15" customHeight="1"/>
    <row r="23435" ht="15" customHeight="1"/>
    <row r="23436" ht="15" customHeight="1"/>
    <row r="23437" ht="15" customHeight="1"/>
    <row r="23438" ht="15" customHeight="1"/>
    <row r="23439" ht="15" customHeight="1"/>
    <row r="23440" ht="15" customHeight="1"/>
    <row r="23441" ht="15" customHeight="1"/>
    <row r="23442" ht="15" customHeight="1"/>
    <row r="23443" ht="15" customHeight="1"/>
    <row r="23444" ht="15" customHeight="1"/>
    <row r="23445" ht="15" customHeight="1"/>
    <row r="23446" ht="15" customHeight="1"/>
    <row r="23447" ht="15" customHeight="1"/>
    <row r="23448" ht="15" customHeight="1"/>
    <row r="23449" ht="15" customHeight="1"/>
    <row r="23450" ht="15" customHeight="1"/>
    <row r="23451" ht="15" customHeight="1"/>
    <row r="23452" ht="15" customHeight="1"/>
    <row r="23453" ht="15" customHeight="1"/>
    <row r="23454" ht="15" customHeight="1"/>
    <row r="23455" ht="15" customHeight="1"/>
    <row r="23456" ht="15" customHeight="1"/>
    <row r="23457" ht="15" customHeight="1"/>
    <row r="23458" ht="15" customHeight="1"/>
    <row r="23459" ht="15" customHeight="1"/>
    <row r="23460" ht="15" customHeight="1"/>
    <row r="23461" ht="15" customHeight="1"/>
    <row r="23462" ht="15" customHeight="1"/>
    <row r="23463" ht="15" customHeight="1"/>
    <row r="23464" ht="15" customHeight="1"/>
    <row r="23465" ht="15" customHeight="1"/>
    <row r="23466" ht="15" customHeight="1"/>
    <row r="23467" ht="15" customHeight="1"/>
    <row r="23468" ht="15" customHeight="1"/>
    <row r="23469" ht="15" customHeight="1"/>
    <row r="23470" ht="15" customHeight="1"/>
    <row r="23471" ht="15" customHeight="1"/>
    <row r="23472" ht="15" customHeight="1"/>
    <row r="23473" ht="15" customHeight="1"/>
    <row r="23474" ht="15" customHeight="1"/>
    <row r="23475" ht="15" customHeight="1"/>
    <row r="23476" ht="15" customHeight="1"/>
    <row r="23477" ht="15" customHeight="1"/>
    <row r="23478" ht="15" customHeight="1"/>
    <row r="23479" ht="15" customHeight="1"/>
    <row r="23480" ht="15" customHeight="1"/>
    <row r="23481" ht="15" customHeight="1"/>
    <row r="23482" ht="15" customHeight="1"/>
    <row r="23483" ht="15" customHeight="1"/>
    <row r="23484" ht="15" customHeight="1"/>
    <row r="23485" ht="15" customHeight="1"/>
    <row r="23486" ht="15" customHeight="1"/>
    <row r="23487" ht="15" customHeight="1"/>
    <row r="23488" ht="15" customHeight="1"/>
    <row r="23489" ht="15" customHeight="1"/>
    <row r="23490" ht="15" customHeight="1"/>
    <row r="23491" ht="15" customHeight="1"/>
    <row r="23492" ht="15" customHeight="1"/>
    <row r="23493" ht="15" customHeight="1"/>
    <row r="23494" ht="15" customHeight="1"/>
    <row r="23495" ht="15" customHeight="1"/>
    <row r="23496" ht="15" customHeight="1"/>
    <row r="23497" ht="15" customHeight="1"/>
    <row r="23498" ht="15" customHeight="1"/>
    <row r="23499" ht="15" customHeight="1"/>
    <row r="23500" ht="15" customHeight="1"/>
    <row r="23501" ht="15" customHeight="1"/>
    <row r="23502" ht="15" customHeight="1"/>
    <row r="23503" ht="15" customHeight="1"/>
    <row r="23504" ht="15" customHeight="1"/>
    <row r="23505" ht="15" customHeight="1"/>
    <row r="23506" ht="15" customHeight="1"/>
    <row r="23507" ht="15" customHeight="1"/>
    <row r="23508" ht="15" customHeight="1"/>
    <row r="23509" ht="15" customHeight="1"/>
    <row r="23510" ht="15" customHeight="1"/>
    <row r="23511" ht="15" customHeight="1"/>
    <row r="23512" ht="15" customHeight="1"/>
    <row r="23513" ht="15" customHeight="1"/>
    <row r="23514" ht="15" customHeight="1"/>
    <row r="23515" ht="15" customHeight="1"/>
    <row r="23516" ht="15" customHeight="1"/>
    <row r="23517" ht="15" customHeight="1"/>
    <row r="23518" ht="15" customHeight="1"/>
    <row r="23519" ht="15" customHeight="1"/>
    <row r="23520" ht="15" customHeight="1"/>
    <row r="23521" ht="15" customHeight="1"/>
    <row r="23522" ht="15" customHeight="1"/>
    <row r="23523" ht="15" customHeight="1"/>
    <row r="23524" ht="15" customHeight="1"/>
    <row r="23525" ht="15" customHeight="1"/>
    <row r="23526" ht="15" customHeight="1"/>
    <row r="23527" ht="15" customHeight="1"/>
    <row r="23528" ht="15" customHeight="1"/>
    <row r="23529" ht="15" customHeight="1"/>
    <row r="23530" ht="15" customHeight="1"/>
    <row r="23531" ht="15" customHeight="1"/>
    <row r="23532" ht="15" customHeight="1"/>
    <row r="23533" ht="15" customHeight="1"/>
    <row r="23534" ht="15" customHeight="1"/>
    <row r="23535" ht="15" customHeight="1"/>
    <row r="23536" ht="15" customHeight="1"/>
    <row r="23537" ht="15" customHeight="1"/>
    <row r="23538" ht="15" customHeight="1"/>
    <row r="23539" ht="15" customHeight="1"/>
    <row r="23540" ht="15" customHeight="1"/>
    <row r="23541" ht="15" customHeight="1"/>
    <row r="23542" ht="15" customHeight="1"/>
    <row r="23543" ht="15" customHeight="1"/>
    <row r="23544" ht="15" customHeight="1"/>
    <row r="23545" ht="15" customHeight="1"/>
    <row r="23546" ht="15" customHeight="1"/>
    <row r="23547" ht="15" customHeight="1"/>
    <row r="23548" ht="15" customHeight="1"/>
    <row r="23549" ht="15" customHeight="1"/>
    <row r="23550" ht="15" customHeight="1"/>
    <row r="23551" ht="15" customHeight="1"/>
    <row r="23552" ht="15" customHeight="1"/>
    <row r="23553" ht="15" customHeight="1"/>
    <row r="23554" ht="15" customHeight="1"/>
    <row r="23555" ht="15" customHeight="1"/>
    <row r="23556" ht="15" customHeight="1"/>
    <row r="23557" ht="15" customHeight="1"/>
    <row r="23558" ht="15" customHeight="1"/>
    <row r="23559" ht="15" customHeight="1"/>
    <row r="23560" ht="15" customHeight="1"/>
    <row r="23561" ht="15" customHeight="1"/>
    <row r="23562" ht="15" customHeight="1"/>
    <row r="23563" ht="15" customHeight="1"/>
    <row r="23564" ht="15" customHeight="1"/>
    <row r="23565" ht="15" customHeight="1"/>
    <row r="23566" ht="15" customHeight="1"/>
    <row r="23567" ht="15" customHeight="1"/>
    <row r="23568" ht="15" customHeight="1"/>
    <row r="23569" ht="15" customHeight="1"/>
    <row r="23570" ht="15" customHeight="1"/>
    <row r="23571" ht="15" customHeight="1"/>
    <row r="23572" ht="15" customHeight="1"/>
    <row r="23573" ht="15" customHeight="1"/>
    <row r="23574" ht="15" customHeight="1"/>
    <row r="23575" ht="15" customHeight="1"/>
    <row r="23576" ht="15" customHeight="1"/>
    <row r="23577" ht="15" customHeight="1"/>
    <row r="23578" ht="15" customHeight="1"/>
    <row r="23579" ht="15" customHeight="1"/>
    <row r="23580" ht="15" customHeight="1"/>
    <row r="23581" ht="15" customHeight="1"/>
    <row r="23582" ht="15" customHeight="1"/>
    <row r="23583" ht="15" customHeight="1"/>
    <row r="23584" ht="15" customHeight="1"/>
    <row r="23585" ht="15" customHeight="1"/>
    <row r="23586" ht="15" customHeight="1"/>
    <row r="23587" ht="15" customHeight="1"/>
    <row r="23588" ht="15" customHeight="1"/>
    <row r="23589" ht="15" customHeight="1"/>
    <row r="23590" ht="15" customHeight="1"/>
    <row r="23591" ht="15" customHeight="1"/>
    <row r="23592" ht="15" customHeight="1"/>
    <row r="23593" ht="15" customHeight="1"/>
    <row r="23594" ht="15" customHeight="1"/>
    <row r="23595" ht="15" customHeight="1"/>
    <row r="23596" ht="15" customHeight="1"/>
    <row r="23597" ht="15" customHeight="1"/>
    <row r="23598" ht="15" customHeight="1"/>
    <row r="23599" ht="15" customHeight="1"/>
    <row r="23600" ht="15" customHeight="1"/>
    <row r="23601" ht="15" customHeight="1"/>
    <row r="23602" ht="15" customHeight="1"/>
    <row r="23603" ht="15" customHeight="1"/>
    <row r="23604" ht="15" customHeight="1"/>
    <row r="23605" ht="15" customHeight="1"/>
    <row r="23606" ht="15" customHeight="1"/>
    <row r="23607" ht="15" customHeight="1"/>
    <row r="23608" ht="15" customHeight="1"/>
    <row r="23609" ht="15" customHeight="1"/>
    <row r="23610" ht="15" customHeight="1"/>
    <row r="23611" ht="15" customHeight="1"/>
    <row r="23612" ht="15" customHeight="1"/>
    <row r="23613" ht="15" customHeight="1"/>
    <row r="23614" ht="15" customHeight="1"/>
    <row r="23615" ht="15" customHeight="1"/>
    <row r="23616" ht="15" customHeight="1"/>
    <row r="23617" ht="15" customHeight="1"/>
    <row r="23618" ht="15" customHeight="1"/>
    <row r="23619" ht="15" customHeight="1"/>
    <row r="23620" ht="15" customHeight="1"/>
    <row r="23621" ht="15" customHeight="1"/>
    <row r="23622" ht="15" customHeight="1"/>
    <row r="23623" ht="15" customHeight="1"/>
    <row r="23624" ht="15" customHeight="1"/>
    <row r="23625" ht="15" customHeight="1"/>
    <row r="23626" ht="15" customHeight="1"/>
    <row r="23627" ht="15" customHeight="1"/>
    <row r="23628" ht="15" customHeight="1"/>
    <row r="23629" ht="15" customHeight="1"/>
    <row r="23630" ht="15" customHeight="1"/>
    <row r="23631" ht="15" customHeight="1"/>
    <row r="23632" ht="15" customHeight="1"/>
    <row r="23633" ht="15" customHeight="1"/>
    <row r="23634" ht="15" customHeight="1"/>
    <row r="23635" ht="15" customHeight="1"/>
    <row r="23636" ht="15" customHeight="1"/>
    <row r="23637" ht="15" customHeight="1"/>
    <row r="23638" ht="15" customHeight="1"/>
    <row r="23639" ht="15" customHeight="1"/>
    <row r="23640" ht="15" customHeight="1"/>
    <row r="23641" ht="15" customHeight="1"/>
    <row r="23642" ht="15" customHeight="1"/>
    <row r="23643" ht="15" customHeight="1"/>
    <row r="23644" ht="15" customHeight="1"/>
    <row r="23645" ht="15" customHeight="1"/>
    <row r="23646" ht="15" customHeight="1"/>
    <row r="23647" ht="15" customHeight="1"/>
    <row r="23648" ht="15" customHeight="1"/>
    <row r="23649" ht="15" customHeight="1"/>
    <row r="23650" ht="15" customHeight="1"/>
    <row r="23651" ht="15" customHeight="1"/>
    <row r="23652" ht="15" customHeight="1"/>
    <row r="23653" ht="15" customHeight="1"/>
    <row r="23654" ht="15" customHeight="1"/>
    <row r="23655" ht="15" customHeight="1"/>
    <row r="23656" ht="15" customHeight="1"/>
    <row r="23657" ht="15" customHeight="1"/>
    <row r="23658" ht="15" customHeight="1"/>
    <row r="23659" ht="15" customHeight="1"/>
    <row r="23660" ht="15" customHeight="1"/>
    <row r="23661" ht="15" customHeight="1"/>
    <row r="23662" ht="15" customHeight="1"/>
    <row r="23663" ht="15" customHeight="1"/>
    <row r="23664" ht="15" customHeight="1"/>
    <row r="23665" ht="15" customHeight="1"/>
    <row r="23666" ht="15" customHeight="1"/>
    <row r="23667" ht="15" customHeight="1"/>
    <row r="23668" ht="15" customHeight="1"/>
    <row r="23669" ht="15" customHeight="1"/>
    <row r="23670" ht="15" customHeight="1"/>
    <row r="23671" ht="15" customHeight="1"/>
    <row r="23672" ht="15" customHeight="1"/>
    <row r="23673" ht="15" customHeight="1"/>
    <row r="23674" ht="15" customHeight="1"/>
    <row r="23675" ht="15" customHeight="1"/>
    <row r="23676" ht="15" customHeight="1"/>
    <row r="23677" ht="15" customHeight="1"/>
    <row r="23678" ht="15" customHeight="1"/>
    <row r="23679" ht="15" customHeight="1"/>
    <row r="23680" ht="15" customHeight="1"/>
    <row r="23681" ht="15" customHeight="1"/>
    <row r="23682" ht="15" customHeight="1"/>
    <row r="23683" ht="15" customHeight="1"/>
    <row r="23684" ht="15" customHeight="1"/>
    <row r="23685" ht="15" customHeight="1"/>
    <row r="23686" ht="15" customHeight="1"/>
    <row r="23687" ht="15" customHeight="1"/>
    <row r="23688" ht="15" customHeight="1"/>
    <row r="23689" ht="15" customHeight="1"/>
    <row r="23690" ht="15" customHeight="1"/>
    <row r="23691" ht="15" customHeight="1"/>
    <row r="23692" ht="15" customHeight="1"/>
    <row r="23693" ht="15" customHeight="1"/>
    <row r="23694" ht="15" customHeight="1"/>
    <row r="23695" ht="15" customHeight="1"/>
    <row r="23696" ht="15" customHeight="1"/>
    <row r="23697" ht="15" customHeight="1"/>
    <row r="23698" ht="15" customHeight="1"/>
    <row r="23699" ht="15" customHeight="1"/>
    <row r="23700" ht="15" customHeight="1"/>
    <row r="23701" ht="15" customHeight="1"/>
    <row r="23702" ht="15" customHeight="1"/>
    <row r="23703" ht="15" customHeight="1"/>
    <row r="23704" ht="15" customHeight="1"/>
    <row r="23705" ht="15" customHeight="1"/>
    <row r="23706" ht="15" customHeight="1"/>
    <row r="23707" ht="15" customHeight="1"/>
    <row r="23708" ht="15" customHeight="1"/>
    <row r="23709" ht="15" customHeight="1"/>
    <row r="23710" ht="15" customHeight="1"/>
    <row r="23711" ht="15" customHeight="1"/>
    <row r="23712" ht="15" customHeight="1"/>
    <row r="23713" ht="15" customHeight="1"/>
    <row r="23714" ht="15" customHeight="1"/>
    <row r="23715" ht="15" customHeight="1"/>
    <row r="23716" ht="15" customHeight="1"/>
    <row r="23717" ht="15" customHeight="1"/>
    <row r="23718" ht="15" customHeight="1"/>
    <row r="23719" ht="15" customHeight="1"/>
    <row r="23720" ht="15" customHeight="1"/>
    <row r="23721" ht="15" customHeight="1"/>
    <row r="23722" ht="15" customHeight="1"/>
    <row r="23723" ht="15" customHeight="1"/>
    <row r="23724" ht="15" customHeight="1"/>
    <row r="23725" ht="15" customHeight="1"/>
    <row r="23726" ht="15" customHeight="1"/>
    <row r="23727" ht="15" customHeight="1"/>
    <row r="23728" ht="15" customHeight="1"/>
    <row r="23729" ht="15" customHeight="1"/>
    <row r="23730" ht="15" customHeight="1"/>
    <row r="23731" ht="15" customHeight="1"/>
    <row r="23732" ht="15" customHeight="1"/>
    <row r="23733" ht="15" customHeight="1"/>
    <row r="23734" ht="15" customHeight="1"/>
    <row r="23735" ht="15" customHeight="1"/>
    <row r="23736" ht="15" customHeight="1"/>
    <row r="23737" ht="15" customHeight="1"/>
    <row r="23738" ht="15" customHeight="1"/>
    <row r="23739" ht="15" customHeight="1"/>
    <row r="23740" ht="15" customHeight="1"/>
    <row r="23741" ht="15" customHeight="1"/>
    <row r="23742" ht="15" customHeight="1"/>
    <row r="23743" ht="15" customHeight="1"/>
    <row r="23744" ht="15" customHeight="1"/>
    <row r="23745" ht="15" customHeight="1"/>
    <row r="23746" ht="15" customHeight="1"/>
    <row r="23747" ht="15" customHeight="1"/>
    <row r="23748" ht="15" customHeight="1"/>
    <row r="23749" ht="15" customHeight="1"/>
    <row r="23750" ht="15" customHeight="1"/>
    <row r="23751" ht="15" customHeight="1"/>
    <row r="23752" ht="15" customHeight="1"/>
    <row r="23753" ht="15" customHeight="1"/>
    <row r="23754" ht="15" customHeight="1"/>
    <row r="23755" ht="15" customHeight="1"/>
    <row r="23756" ht="15" customHeight="1"/>
    <row r="23757" ht="15" customHeight="1"/>
    <row r="23758" ht="15" customHeight="1"/>
    <row r="23759" ht="15" customHeight="1"/>
    <row r="23760" ht="15" customHeight="1"/>
    <row r="23761" ht="15" customHeight="1"/>
    <row r="23762" ht="15" customHeight="1"/>
    <row r="23763" ht="15" customHeight="1"/>
    <row r="23764" ht="15" customHeight="1"/>
    <row r="23765" ht="15" customHeight="1"/>
    <row r="23766" ht="15" customHeight="1"/>
    <row r="23767" ht="15" customHeight="1"/>
    <row r="23768" ht="15" customHeight="1"/>
    <row r="23769" ht="15" customHeight="1"/>
    <row r="23770" ht="15" customHeight="1"/>
    <row r="23771" ht="15" customHeight="1"/>
    <row r="23772" ht="15" customHeight="1"/>
    <row r="23773" ht="15" customHeight="1"/>
    <row r="23774" ht="15" customHeight="1"/>
    <row r="23775" ht="15" customHeight="1"/>
    <row r="23776" ht="15" customHeight="1"/>
    <row r="23777" ht="15" customHeight="1"/>
    <row r="23778" ht="15" customHeight="1"/>
    <row r="23779" ht="15" customHeight="1"/>
    <row r="23780" ht="15" customHeight="1"/>
    <row r="23781" ht="15" customHeight="1"/>
    <row r="23782" ht="15" customHeight="1"/>
    <row r="23783" ht="15" customHeight="1"/>
    <row r="23784" ht="15" customHeight="1"/>
    <row r="23785" ht="15" customHeight="1"/>
    <row r="23786" ht="15" customHeight="1"/>
    <row r="23787" ht="15" customHeight="1"/>
    <row r="23788" ht="15" customHeight="1"/>
    <row r="23789" ht="15" customHeight="1"/>
    <row r="23790" ht="15" customHeight="1"/>
    <row r="23791" ht="15" customHeight="1"/>
    <row r="23792" ht="15" customHeight="1"/>
    <row r="23793" ht="15" customHeight="1"/>
    <row r="23794" ht="15" customHeight="1"/>
    <row r="23795" ht="15" customHeight="1"/>
    <row r="23796" ht="15" customHeight="1"/>
    <row r="23797" ht="15" customHeight="1"/>
    <row r="23798" ht="15" customHeight="1"/>
    <row r="23799" ht="15" customHeight="1"/>
    <row r="23800" ht="15" customHeight="1"/>
    <row r="23801" ht="15" customHeight="1"/>
    <row r="23802" ht="15" customHeight="1"/>
    <row r="23803" ht="15" customHeight="1"/>
    <row r="23804" ht="15" customHeight="1"/>
    <row r="23805" ht="15" customHeight="1"/>
    <row r="23806" ht="15" customHeight="1"/>
    <row r="23807" ht="15" customHeight="1"/>
    <row r="23808" ht="15" customHeight="1"/>
    <row r="23809" ht="15" customHeight="1"/>
    <row r="23810" ht="15" customHeight="1"/>
    <row r="23811" ht="15" customHeight="1"/>
    <row r="23812" ht="15" customHeight="1"/>
    <row r="23813" ht="15" customHeight="1"/>
    <row r="23814" ht="15" customHeight="1"/>
    <row r="23815" ht="15" customHeight="1"/>
    <row r="23816" ht="15" customHeight="1"/>
    <row r="23817" ht="15" customHeight="1"/>
    <row r="23818" ht="15" customHeight="1"/>
    <row r="23819" ht="15" customHeight="1"/>
    <row r="23820" ht="15" customHeight="1"/>
    <row r="23821" ht="15" customHeight="1"/>
    <row r="23822" ht="15" customHeight="1"/>
    <row r="23823" ht="15" customHeight="1"/>
    <row r="23824" ht="15" customHeight="1"/>
    <row r="23825" ht="15" customHeight="1"/>
    <row r="23826" ht="15" customHeight="1"/>
    <row r="23827" ht="15" customHeight="1"/>
    <row r="23828" ht="15" customHeight="1"/>
    <row r="23829" ht="15" customHeight="1"/>
    <row r="23830" ht="15" customHeight="1"/>
    <row r="23831" ht="15" customHeight="1"/>
    <row r="23832" ht="15" customHeight="1"/>
    <row r="23833" ht="15" customHeight="1"/>
    <row r="23834" ht="15" customHeight="1"/>
    <row r="23835" ht="15" customHeight="1"/>
    <row r="23836" ht="15" customHeight="1"/>
    <row r="23837" ht="15" customHeight="1"/>
    <row r="23838" ht="15" customHeight="1"/>
    <row r="23839" ht="15" customHeight="1"/>
    <row r="23840" ht="15" customHeight="1"/>
    <row r="23841" ht="15" customHeight="1"/>
    <row r="23842" ht="15" customHeight="1"/>
    <row r="23843" ht="15" customHeight="1"/>
    <row r="23844" ht="15" customHeight="1"/>
    <row r="23845" ht="15" customHeight="1"/>
    <row r="23846" ht="15" customHeight="1"/>
    <row r="23847" ht="15" customHeight="1"/>
    <row r="23848" ht="15" customHeight="1"/>
    <row r="23849" ht="15" customHeight="1"/>
    <row r="23850" ht="15" customHeight="1"/>
    <row r="23851" ht="15" customHeight="1"/>
    <row r="23852" ht="15" customHeight="1"/>
    <row r="23853" ht="15" customHeight="1"/>
    <row r="23854" ht="15" customHeight="1"/>
    <row r="23855" ht="15" customHeight="1"/>
    <row r="23856" ht="15" customHeight="1"/>
    <row r="23857" ht="15" customHeight="1"/>
    <row r="23858" ht="15" customHeight="1"/>
    <row r="23859" ht="15" customHeight="1"/>
    <row r="23860" ht="15" customHeight="1"/>
    <row r="23861" ht="15" customHeight="1"/>
    <row r="23862" ht="15" customHeight="1"/>
    <row r="23863" ht="15" customHeight="1"/>
    <row r="23864" ht="15" customHeight="1"/>
    <row r="23865" ht="15" customHeight="1"/>
    <row r="23866" ht="15" customHeight="1"/>
    <row r="23867" ht="15" customHeight="1"/>
    <row r="23868" ht="15" customHeight="1"/>
    <row r="23869" ht="15" customHeight="1"/>
    <row r="23870" ht="15" customHeight="1"/>
    <row r="23871" ht="15" customHeight="1"/>
    <row r="23872" ht="15" customHeight="1"/>
    <row r="23873" ht="15" customHeight="1"/>
    <row r="23874" ht="15" customHeight="1"/>
    <row r="23875" ht="15" customHeight="1"/>
    <row r="23876" ht="15" customHeight="1"/>
    <row r="23877" ht="15" customHeight="1"/>
    <row r="23878" ht="15" customHeight="1"/>
    <row r="23879" ht="15" customHeight="1"/>
    <row r="23880" ht="15" customHeight="1"/>
    <row r="23881" ht="15" customHeight="1"/>
    <row r="23882" ht="15" customHeight="1"/>
    <row r="23883" ht="15" customHeight="1"/>
    <row r="23884" ht="15" customHeight="1"/>
    <row r="23885" ht="15" customHeight="1"/>
    <row r="23886" ht="15" customHeight="1"/>
    <row r="23887" ht="15" customHeight="1"/>
    <row r="23888" ht="15" customHeight="1"/>
    <row r="23889" ht="15" customHeight="1"/>
    <row r="23890" ht="15" customHeight="1"/>
    <row r="23891" ht="15" customHeight="1"/>
    <row r="23892" ht="15" customHeight="1"/>
    <row r="23893" ht="15" customHeight="1"/>
    <row r="23894" ht="15" customHeight="1"/>
    <row r="23895" ht="15" customHeight="1"/>
    <row r="23896" ht="15" customHeight="1"/>
    <row r="23897" ht="15" customHeight="1"/>
    <row r="23898" ht="15" customHeight="1"/>
    <row r="23899" ht="15" customHeight="1"/>
    <row r="23900" ht="15" customHeight="1"/>
    <row r="23901" ht="15" customHeight="1"/>
    <row r="23902" ht="15" customHeight="1"/>
    <row r="23903" ht="15" customHeight="1"/>
    <row r="23904" ht="15" customHeight="1"/>
    <row r="23905" ht="15" customHeight="1"/>
    <row r="23906" ht="15" customHeight="1"/>
    <row r="23907" ht="15" customHeight="1"/>
    <row r="23908" ht="15" customHeight="1"/>
    <row r="23909" ht="15" customHeight="1"/>
    <row r="23910" ht="15" customHeight="1"/>
    <row r="23911" ht="15" customHeight="1"/>
    <row r="23912" ht="15" customHeight="1"/>
    <row r="23913" ht="15" customHeight="1"/>
    <row r="23914" ht="15" customHeight="1"/>
    <row r="23915" ht="15" customHeight="1"/>
    <row r="23916" ht="15" customHeight="1"/>
    <row r="23917" ht="15" customHeight="1"/>
    <row r="23918" ht="15" customHeight="1"/>
    <row r="23919" ht="15" customHeight="1"/>
    <row r="23920" ht="15" customHeight="1"/>
    <row r="23921" ht="15" customHeight="1"/>
    <row r="23922" ht="15" customHeight="1"/>
    <row r="23923" ht="15" customHeight="1"/>
    <row r="23924" ht="15" customHeight="1"/>
    <row r="23925" ht="15" customHeight="1"/>
    <row r="23926" ht="15" customHeight="1"/>
    <row r="23927" ht="15" customHeight="1"/>
    <row r="23928" ht="15" customHeight="1"/>
    <row r="23929" ht="15" customHeight="1"/>
    <row r="23930" ht="15" customHeight="1"/>
    <row r="23931" ht="15" customHeight="1"/>
    <row r="23932" ht="15" customHeight="1"/>
    <row r="23933" ht="15" customHeight="1"/>
    <row r="23934" ht="15" customHeight="1"/>
    <row r="23935" ht="15" customHeight="1"/>
    <row r="23936" ht="15" customHeight="1"/>
    <row r="23937" ht="15" customHeight="1"/>
    <row r="23938" ht="15" customHeight="1"/>
    <row r="23939" ht="15" customHeight="1"/>
    <row r="23940" ht="15" customHeight="1"/>
    <row r="23941" ht="15" customHeight="1"/>
    <row r="23942" ht="15" customHeight="1"/>
    <row r="23943" ht="15" customHeight="1"/>
    <row r="23944" ht="15" customHeight="1"/>
    <row r="23945" ht="15" customHeight="1"/>
    <row r="23946" ht="15" customHeight="1"/>
    <row r="23947" ht="15" customHeight="1"/>
    <row r="23948" ht="15" customHeight="1"/>
    <row r="23949" ht="15" customHeight="1"/>
    <row r="23950" ht="15" customHeight="1"/>
    <row r="23951" ht="15" customHeight="1"/>
    <row r="23952" ht="15" customHeight="1"/>
    <row r="23953" ht="15" customHeight="1"/>
    <row r="23954" ht="15" customHeight="1"/>
    <row r="23955" ht="15" customHeight="1"/>
    <row r="23956" ht="15" customHeight="1"/>
    <row r="23957" ht="15" customHeight="1"/>
    <row r="23958" ht="15" customHeight="1"/>
    <row r="23959" ht="15" customHeight="1"/>
    <row r="23960" ht="15" customHeight="1"/>
    <row r="23961" ht="15" customHeight="1"/>
    <row r="23962" ht="15" customHeight="1"/>
    <row r="23963" ht="15" customHeight="1"/>
    <row r="23964" ht="15" customHeight="1"/>
    <row r="23965" ht="15" customHeight="1"/>
    <row r="23966" ht="15" customHeight="1"/>
    <row r="23967" ht="15" customHeight="1"/>
    <row r="23968" ht="15" customHeight="1"/>
    <row r="23969" ht="15" customHeight="1"/>
    <row r="23970" ht="15" customHeight="1"/>
    <row r="23971" ht="15" customHeight="1"/>
    <row r="23972" ht="15" customHeight="1"/>
    <row r="23973" ht="15" customHeight="1"/>
    <row r="23974" ht="15" customHeight="1"/>
    <row r="23975" ht="15" customHeight="1"/>
    <row r="23976" ht="15" customHeight="1"/>
    <row r="23977" ht="15" customHeight="1"/>
    <row r="23978" ht="15" customHeight="1"/>
    <row r="23979" ht="15" customHeight="1"/>
    <row r="23980" ht="15" customHeight="1"/>
    <row r="23981" ht="15" customHeight="1"/>
    <row r="23982" ht="15" customHeight="1"/>
    <row r="23983" ht="15" customHeight="1"/>
    <row r="23984" ht="15" customHeight="1"/>
    <row r="23985" ht="15" customHeight="1"/>
    <row r="23986" ht="15" customHeight="1"/>
    <row r="23987" ht="15" customHeight="1"/>
    <row r="23988" ht="15" customHeight="1"/>
    <row r="23989" ht="15" customHeight="1"/>
    <row r="23990" ht="15" customHeight="1"/>
    <row r="23991" ht="15" customHeight="1"/>
    <row r="23992" ht="15" customHeight="1"/>
    <row r="23993" ht="15" customHeight="1"/>
    <row r="23994" ht="15" customHeight="1"/>
    <row r="23995" ht="15" customHeight="1"/>
    <row r="23996" ht="15" customHeight="1"/>
    <row r="23997" ht="15" customHeight="1"/>
    <row r="23998" ht="15" customHeight="1"/>
    <row r="23999" ht="15" customHeight="1"/>
    <row r="24000" ht="15" customHeight="1"/>
    <row r="24001" ht="15" customHeight="1"/>
    <row r="24002" ht="15" customHeight="1"/>
    <row r="24003" ht="15" customHeight="1"/>
    <row r="24004" ht="15" customHeight="1"/>
    <row r="24005" ht="15" customHeight="1"/>
    <row r="24006" ht="15" customHeight="1"/>
    <row r="24007" ht="15" customHeight="1"/>
    <row r="24008" ht="15" customHeight="1"/>
    <row r="24009" ht="15" customHeight="1"/>
    <row r="24010" ht="15" customHeight="1"/>
    <row r="24011" ht="15" customHeight="1"/>
    <row r="24012" ht="15" customHeight="1"/>
    <row r="24013" ht="15" customHeight="1"/>
    <row r="24014" ht="15" customHeight="1"/>
    <row r="24015" ht="15" customHeight="1"/>
    <row r="24016" ht="15" customHeight="1"/>
    <row r="24017" ht="15" customHeight="1"/>
    <row r="24018" ht="15" customHeight="1"/>
    <row r="24019" ht="15" customHeight="1"/>
    <row r="24020" ht="15" customHeight="1"/>
    <row r="24021" ht="15" customHeight="1"/>
    <row r="24022" ht="15" customHeight="1"/>
    <row r="24023" ht="15" customHeight="1"/>
    <row r="24024" ht="15" customHeight="1"/>
    <row r="24025" ht="15" customHeight="1"/>
    <row r="24026" ht="15" customHeight="1"/>
    <row r="24027" ht="15" customHeight="1"/>
    <row r="24028" ht="15" customHeight="1"/>
    <row r="24029" ht="15" customHeight="1"/>
    <row r="24030" ht="15" customHeight="1"/>
    <row r="24031" ht="15" customHeight="1"/>
    <row r="24032" ht="15" customHeight="1"/>
    <row r="24033" ht="15" customHeight="1"/>
    <row r="24034" ht="15" customHeight="1"/>
    <row r="24035" ht="15" customHeight="1"/>
    <row r="24036" ht="15" customHeight="1"/>
    <row r="24037" ht="15" customHeight="1"/>
    <row r="24038" ht="15" customHeight="1"/>
    <row r="24039" ht="15" customHeight="1"/>
    <row r="24040" ht="15" customHeight="1"/>
    <row r="24041" ht="15" customHeight="1"/>
    <row r="24042" ht="15" customHeight="1"/>
    <row r="24043" ht="15" customHeight="1"/>
    <row r="24044" ht="15" customHeight="1"/>
    <row r="24045" ht="15" customHeight="1"/>
    <row r="24046" ht="15" customHeight="1"/>
    <row r="24047" ht="15" customHeight="1"/>
    <row r="24048" ht="15" customHeight="1"/>
    <row r="24049" ht="15" customHeight="1"/>
    <row r="24050" ht="15" customHeight="1"/>
    <row r="24051" ht="15" customHeight="1"/>
    <row r="24052" ht="15" customHeight="1"/>
    <row r="24053" ht="15" customHeight="1"/>
    <row r="24054" ht="15" customHeight="1"/>
    <row r="24055" ht="15" customHeight="1"/>
    <row r="24056" ht="15" customHeight="1"/>
    <row r="24057" ht="15" customHeight="1"/>
    <row r="24058" ht="15" customHeight="1"/>
    <row r="24059" ht="15" customHeight="1"/>
    <row r="24060" ht="15" customHeight="1"/>
    <row r="24061" ht="15" customHeight="1"/>
    <row r="24062" ht="15" customHeight="1"/>
    <row r="24063" ht="15" customHeight="1"/>
    <row r="24064" ht="15" customHeight="1"/>
    <row r="24065" ht="15" customHeight="1"/>
    <row r="24066" ht="15" customHeight="1"/>
    <row r="24067" ht="15" customHeight="1"/>
    <row r="24068" ht="15" customHeight="1"/>
    <row r="24069" ht="15" customHeight="1"/>
    <row r="24070" ht="15" customHeight="1"/>
    <row r="24071" ht="15" customHeight="1"/>
    <row r="24072" ht="15" customHeight="1"/>
    <row r="24073" ht="15" customHeight="1"/>
    <row r="24074" ht="15" customHeight="1"/>
    <row r="24075" ht="15" customHeight="1"/>
    <row r="24076" ht="15" customHeight="1"/>
    <row r="24077" ht="15" customHeight="1"/>
    <row r="24078" ht="15" customHeight="1"/>
    <row r="24079" ht="15" customHeight="1"/>
    <row r="24080" ht="15" customHeight="1"/>
    <row r="24081" ht="15" customHeight="1"/>
    <row r="24082" ht="15" customHeight="1"/>
    <row r="24083" ht="15" customHeight="1"/>
    <row r="24084" ht="15" customHeight="1"/>
    <row r="24085" ht="15" customHeight="1"/>
    <row r="24086" ht="15" customHeight="1"/>
    <row r="24087" ht="15" customHeight="1"/>
    <row r="24088" ht="15" customHeight="1"/>
    <row r="24089" ht="15" customHeight="1"/>
    <row r="24090" ht="15" customHeight="1"/>
    <row r="24091" ht="15" customHeight="1"/>
    <row r="24092" ht="15" customHeight="1"/>
    <row r="24093" ht="15" customHeight="1"/>
    <row r="24094" ht="15" customHeight="1"/>
    <row r="24095" ht="15" customHeight="1"/>
    <row r="24096" ht="15" customHeight="1"/>
    <row r="24097" ht="15" customHeight="1"/>
    <row r="24098" ht="15" customHeight="1"/>
    <row r="24099" ht="15" customHeight="1"/>
    <row r="24100" ht="15" customHeight="1"/>
    <row r="24101" ht="15" customHeight="1"/>
    <row r="24102" ht="15" customHeight="1"/>
    <row r="24103" ht="15" customHeight="1"/>
    <row r="24104" ht="15" customHeight="1"/>
    <row r="24105" ht="15" customHeight="1"/>
    <row r="24106" ht="15" customHeight="1"/>
    <row r="24107" ht="15" customHeight="1"/>
    <row r="24108" ht="15" customHeight="1"/>
    <row r="24109" ht="15" customHeight="1"/>
    <row r="24110" ht="15" customHeight="1"/>
    <row r="24111" ht="15" customHeight="1"/>
    <row r="24112" ht="15" customHeight="1"/>
    <row r="24113" ht="15" customHeight="1"/>
    <row r="24114" ht="15" customHeight="1"/>
    <row r="24115" ht="15" customHeight="1"/>
    <row r="24116" ht="15" customHeight="1"/>
    <row r="24117" ht="15" customHeight="1"/>
    <row r="24118" ht="15" customHeight="1"/>
    <row r="24119" ht="15" customHeight="1"/>
    <row r="24120" ht="15" customHeight="1"/>
    <row r="24121" ht="15" customHeight="1"/>
    <row r="24122" ht="15" customHeight="1"/>
    <row r="24123" ht="15" customHeight="1"/>
    <row r="24124" ht="15" customHeight="1"/>
    <row r="24125" ht="15" customHeight="1"/>
    <row r="24126" ht="15" customHeight="1"/>
    <row r="24127" ht="15" customHeight="1"/>
    <row r="24128" ht="15" customHeight="1"/>
    <row r="24129" ht="15" customHeight="1"/>
    <row r="24130" ht="15" customHeight="1"/>
    <row r="24131" ht="15" customHeight="1"/>
    <row r="24132" ht="15" customHeight="1"/>
    <row r="24133" ht="15" customHeight="1"/>
    <row r="24134" ht="15" customHeight="1"/>
    <row r="24135" ht="15" customHeight="1"/>
    <row r="24136" ht="15" customHeight="1"/>
    <row r="24137" ht="15" customHeight="1"/>
    <row r="24138" ht="15" customHeight="1"/>
    <row r="24139" ht="15" customHeight="1"/>
    <row r="24140" ht="15" customHeight="1"/>
    <row r="24141" ht="15" customHeight="1"/>
    <row r="24142" ht="15" customHeight="1"/>
    <row r="24143" ht="15" customHeight="1"/>
    <row r="24144" ht="15" customHeight="1"/>
    <row r="24145" ht="15" customHeight="1"/>
    <row r="24146" ht="15" customHeight="1"/>
    <row r="24147" ht="15" customHeight="1"/>
    <row r="24148" ht="15" customHeight="1"/>
    <row r="24149" ht="15" customHeight="1"/>
    <row r="24150" ht="15" customHeight="1"/>
    <row r="24151" ht="15" customHeight="1"/>
    <row r="24152" ht="15" customHeight="1"/>
    <row r="24153" ht="15" customHeight="1"/>
    <row r="24154" ht="15" customHeight="1"/>
    <row r="24155" ht="15" customHeight="1"/>
    <row r="24156" ht="15" customHeight="1"/>
    <row r="24157" ht="15" customHeight="1"/>
    <row r="24158" ht="15" customHeight="1"/>
    <row r="24159" ht="15" customHeight="1"/>
    <row r="24160" ht="15" customHeight="1"/>
    <row r="24161" ht="15" customHeight="1"/>
    <row r="24162" ht="15" customHeight="1"/>
    <row r="24163" ht="15" customHeight="1"/>
    <row r="24164" ht="15" customHeight="1"/>
    <row r="24165" ht="15" customHeight="1"/>
    <row r="24166" ht="15" customHeight="1"/>
    <row r="24167" ht="15" customHeight="1"/>
    <row r="24168" ht="15" customHeight="1"/>
    <row r="24169" ht="15" customHeight="1"/>
    <row r="24170" ht="15" customHeight="1"/>
    <row r="24171" ht="15" customHeight="1"/>
    <row r="24172" ht="15" customHeight="1"/>
    <row r="24173" ht="15" customHeight="1"/>
    <row r="24174" ht="15" customHeight="1"/>
    <row r="24175" ht="15" customHeight="1"/>
    <row r="24176" ht="15" customHeight="1"/>
    <row r="24177" ht="15" customHeight="1"/>
    <row r="24178" ht="15" customHeight="1"/>
    <row r="24179" ht="15" customHeight="1"/>
    <row r="24180" ht="15" customHeight="1"/>
    <row r="24181" ht="15" customHeight="1"/>
    <row r="24182" ht="15" customHeight="1"/>
    <row r="24183" ht="15" customHeight="1"/>
    <row r="24184" ht="15" customHeight="1"/>
    <row r="24185" ht="15" customHeight="1"/>
    <row r="24186" ht="15" customHeight="1"/>
    <row r="24187" ht="15" customHeight="1"/>
    <row r="24188" ht="15" customHeight="1"/>
    <row r="24189" ht="15" customHeight="1"/>
    <row r="24190" ht="15" customHeight="1"/>
    <row r="24191" ht="15" customHeight="1"/>
    <row r="24192" ht="15" customHeight="1"/>
    <row r="24193" ht="15" customHeight="1"/>
    <row r="24194" ht="15" customHeight="1"/>
    <row r="24195" ht="15" customHeight="1"/>
    <row r="24196" ht="15" customHeight="1"/>
    <row r="24197" ht="15" customHeight="1"/>
    <row r="24198" ht="15" customHeight="1"/>
    <row r="24199" ht="15" customHeight="1"/>
    <row r="24200" ht="15" customHeight="1"/>
    <row r="24201" ht="15" customHeight="1"/>
    <row r="24202" ht="15" customHeight="1"/>
    <row r="24203" ht="15" customHeight="1"/>
    <row r="24204" ht="15" customHeight="1"/>
    <row r="24205" ht="15" customHeight="1"/>
    <row r="24206" ht="15" customHeight="1"/>
    <row r="24207" ht="15" customHeight="1"/>
    <row r="24208" ht="15" customHeight="1"/>
    <row r="24209" ht="15" customHeight="1"/>
    <row r="24210" ht="15" customHeight="1"/>
    <row r="24211" ht="15" customHeight="1"/>
    <row r="24212" ht="15" customHeight="1"/>
    <row r="24213" ht="15" customHeight="1"/>
    <row r="24214" ht="15" customHeight="1"/>
    <row r="24215" ht="15" customHeight="1"/>
    <row r="24216" ht="15" customHeight="1"/>
    <row r="24217" ht="15" customHeight="1"/>
    <row r="24218" ht="15" customHeight="1"/>
    <row r="24219" ht="15" customHeight="1"/>
    <row r="24220" ht="15" customHeight="1"/>
    <row r="24221" ht="15" customHeight="1"/>
    <row r="24222" ht="15" customHeight="1"/>
    <row r="24223" ht="15" customHeight="1"/>
    <row r="24224" ht="15" customHeight="1"/>
    <row r="24225" ht="15" customHeight="1"/>
    <row r="24226" ht="15" customHeight="1"/>
    <row r="24227" ht="15" customHeight="1"/>
    <row r="24228" ht="15" customHeight="1"/>
    <row r="24229" ht="15" customHeight="1"/>
    <row r="24230" ht="15" customHeight="1"/>
    <row r="24231" ht="15" customHeight="1"/>
    <row r="24232" ht="15" customHeight="1"/>
    <row r="24233" ht="15" customHeight="1"/>
    <row r="24234" ht="15" customHeight="1"/>
    <row r="24235" ht="15" customHeight="1"/>
    <row r="24236" ht="15" customHeight="1"/>
    <row r="24237" ht="15" customHeight="1"/>
    <row r="24238" ht="15" customHeight="1"/>
    <row r="24239" ht="15" customHeight="1"/>
    <row r="24240" ht="15" customHeight="1"/>
    <row r="24241" ht="15" customHeight="1"/>
    <row r="24242" ht="15" customHeight="1"/>
    <row r="24243" ht="15" customHeight="1"/>
    <row r="24244" ht="15" customHeight="1"/>
    <row r="24245" ht="15" customHeight="1"/>
    <row r="24246" ht="15" customHeight="1"/>
    <row r="24247" ht="15" customHeight="1"/>
    <row r="24248" ht="15" customHeight="1"/>
    <row r="24249" ht="15" customHeight="1"/>
    <row r="24250" ht="15" customHeight="1"/>
    <row r="24251" ht="15" customHeight="1"/>
    <row r="24252" ht="15" customHeight="1"/>
    <row r="24253" ht="15" customHeight="1"/>
    <row r="24254" ht="15" customHeight="1"/>
    <row r="24255" ht="15" customHeight="1"/>
    <row r="24256" ht="15" customHeight="1"/>
    <row r="24257" ht="15" customHeight="1"/>
    <row r="24258" ht="15" customHeight="1"/>
    <row r="24259" ht="15" customHeight="1"/>
    <row r="24260" ht="15" customHeight="1"/>
    <row r="24261" ht="15" customHeight="1"/>
    <row r="24262" ht="15" customHeight="1"/>
    <row r="24263" ht="15" customHeight="1"/>
    <row r="24264" ht="15" customHeight="1"/>
    <row r="24265" ht="15" customHeight="1"/>
    <row r="24266" ht="15" customHeight="1"/>
    <row r="24267" ht="15" customHeight="1"/>
    <row r="24268" ht="15" customHeight="1"/>
    <row r="24269" ht="15" customHeight="1"/>
    <row r="24270" ht="15" customHeight="1"/>
    <row r="24271" ht="15" customHeight="1"/>
    <row r="24272" ht="15" customHeight="1"/>
    <row r="24273" ht="15" customHeight="1"/>
    <row r="24274" ht="15" customHeight="1"/>
    <row r="24275" ht="15" customHeight="1"/>
    <row r="24276" ht="15" customHeight="1"/>
    <row r="24277" ht="15" customHeight="1"/>
    <row r="24278" ht="15" customHeight="1"/>
    <row r="24279" ht="15" customHeight="1"/>
    <row r="24280" ht="15" customHeight="1"/>
    <row r="24281" ht="15" customHeight="1"/>
    <row r="24282" ht="15" customHeight="1"/>
    <row r="24283" ht="15" customHeight="1"/>
    <row r="24284" ht="15" customHeight="1"/>
    <row r="24285" ht="15" customHeight="1"/>
    <row r="24286" ht="15" customHeight="1"/>
    <row r="24287" ht="15" customHeight="1"/>
    <row r="24288" ht="15" customHeight="1"/>
    <row r="24289" ht="15" customHeight="1"/>
    <row r="24290" ht="15" customHeight="1"/>
    <row r="24291" ht="15" customHeight="1"/>
    <row r="24292" ht="15" customHeight="1"/>
    <row r="24293" ht="15" customHeight="1"/>
    <row r="24294" ht="15" customHeight="1"/>
    <row r="24295" ht="15" customHeight="1"/>
    <row r="24296" ht="15" customHeight="1"/>
    <row r="24297" ht="15" customHeight="1"/>
    <row r="24298" ht="15" customHeight="1"/>
    <row r="24299" ht="15" customHeight="1"/>
    <row r="24300" ht="15" customHeight="1"/>
    <row r="24301" ht="15" customHeight="1"/>
    <row r="24302" ht="15" customHeight="1"/>
    <row r="24303" ht="15" customHeight="1"/>
    <row r="24304" ht="15" customHeight="1"/>
    <row r="24305" ht="15" customHeight="1"/>
    <row r="24306" ht="15" customHeight="1"/>
    <row r="24307" ht="15" customHeight="1"/>
    <row r="24308" ht="15" customHeight="1"/>
    <row r="24309" ht="15" customHeight="1"/>
    <row r="24310" ht="15" customHeight="1"/>
    <row r="24311" ht="15" customHeight="1"/>
    <row r="24312" ht="15" customHeight="1"/>
    <row r="24313" ht="15" customHeight="1"/>
    <row r="24314" ht="15" customHeight="1"/>
    <row r="24315" ht="15" customHeight="1"/>
    <row r="24316" ht="15" customHeight="1"/>
    <row r="24317" ht="15" customHeight="1"/>
    <row r="24318" ht="15" customHeight="1"/>
    <row r="24319" ht="15" customHeight="1"/>
    <row r="24320" ht="15" customHeight="1"/>
    <row r="24321" ht="15" customHeight="1"/>
    <row r="24322" ht="15" customHeight="1"/>
    <row r="24323" ht="15" customHeight="1"/>
    <row r="24324" ht="15" customHeight="1"/>
    <row r="24325" ht="15" customHeight="1"/>
    <row r="24326" ht="15" customHeight="1"/>
    <row r="24327" ht="15" customHeight="1"/>
    <row r="24328" ht="15" customHeight="1"/>
    <row r="24329" ht="15" customHeight="1"/>
    <row r="24330" ht="15" customHeight="1"/>
    <row r="24331" ht="15" customHeight="1"/>
    <row r="24332" ht="15" customHeight="1"/>
    <row r="24333" ht="15" customHeight="1"/>
    <row r="24334" ht="15" customHeight="1"/>
    <row r="24335" ht="15" customHeight="1"/>
    <row r="24336" ht="15" customHeight="1"/>
    <row r="24337" ht="15" customHeight="1"/>
    <row r="24338" ht="15" customHeight="1"/>
    <row r="24339" ht="15" customHeight="1"/>
    <row r="24340" ht="15" customHeight="1"/>
    <row r="24341" ht="15" customHeight="1"/>
    <row r="24342" ht="15" customHeight="1"/>
    <row r="24343" ht="15" customHeight="1"/>
    <row r="24344" ht="15" customHeight="1"/>
    <row r="24345" ht="15" customHeight="1"/>
    <row r="24346" ht="15" customHeight="1"/>
    <row r="24347" ht="15" customHeight="1"/>
    <row r="24348" ht="15" customHeight="1"/>
    <row r="24349" ht="15" customHeight="1"/>
    <row r="24350" ht="15" customHeight="1"/>
    <row r="24351" ht="15" customHeight="1"/>
    <row r="24352" ht="15" customHeight="1"/>
    <row r="24353" ht="15" customHeight="1"/>
    <row r="24354" ht="15" customHeight="1"/>
    <row r="24355" ht="15" customHeight="1"/>
    <row r="24356" ht="15" customHeight="1"/>
    <row r="24357" ht="15" customHeight="1"/>
    <row r="24358" ht="15" customHeight="1"/>
    <row r="24359" ht="15" customHeight="1"/>
    <row r="24360" ht="15" customHeight="1"/>
    <row r="24361" ht="15" customHeight="1"/>
    <row r="24362" ht="15" customHeight="1"/>
    <row r="24363" ht="15" customHeight="1"/>
    <row r="24364" ht="15" customHeight="1"/>
    <row r="24365" ht="15" customHeight="1"/>
    <row r="24366" ht="15" customHeight="1"/>
    <row r="24367" ht="15" customHeight="1"/>
    <row r="24368" ht="15" customHeight="1"/>
    <row r="24369" ht="15" customHeight="1"/>
    <row r="24370" ht="15" customHeight="1"/>
    <row r="24371" ht="15" customHeight="1"/>
    <row r="24372" ht="15" customHeight="1"/>
    <row r="24373" ht="15" customHeight="1"/>
    <row r="24374" ht="15" customHeight="1"/>
    <row r="24375" ht="15" customHeight="1"/>
    <row r="24376" ht="15" customHeight="1"/>
    <row r="24377" ht="15" customHeight="1"/>
    <row r="24378" ht="15" customHeight="1"/>
    <row r="24379" ht="15" customHeight="1"/>
    <row r="24380" ht="15" customHeight="1"/>
    <row r="24381" ht="15" customHeight="1"/>
    <row r="24382" ht="15" customHeight="1"/>
    <row r="24383" ht="15" customHeight="1"/>
    <row r="24384" ht="15" customHeight="1"/>
    <row r="24385" ht="15" customHeight="1"/>
    <row r="24386" ht="15" customHeight="1"/>
    <row r="24387" ht="15" customHeight="1"/>
    <row r="24388" ht="15" customHeight="1"/>
    <row r="24389" ht="15" customHeight="1"/>
    <row r="24390" ht="15" customHeight="1"/>
    <row r="24391" ht="15" customHeight="1"/>
    <row r="24392" ht="15" customHeight="1"/>
    <row r="24393" ht="15" customHeight="1"/>
    <row r="24394" ht="15" customHeight="1"/>
    <row r="24395" ht="15" customHeight="1"/>
    <row r="24396" ht="15" customHeight="1"/>
    <row r="24397" ht="15" customHeight="1"/>
    <row r="24398" ht="15" customHeight="1"/>
    <row r="24399" ht="15" customHeight="1"/>
    <row r="24400" ht="15" customHeight="1"/>
    <row r="24401" ht="15" customHeight="1"/>
    <row r="24402" ht="15" customHeight="1"/>
    <row r="24403" ht="15" customHeight="1"/>
    <row r="24404" ht="15" customHeight="1"/>
    <row r="24405" ht="15" customHeight="1"/>
    <row r="24406" ht="15" customHeight="1"/>
    <row r="24407" ht="15" customHeight="1"/>
    <row r="24408" ht="15" customHeight="1"/>
    <row r="24409" ht="15" customHeight="1"/>
    <row r="24410" ht="15" customHeight="1"/>
    <row r="24411" ht="15" customHeight="1"/>
    <row r="24412" ht="15" customHeight="1"/>
    <row r="24413" ht="15" customHeight="1"/>
    <row r="24414" ht="15" customHeight="1"/>
    <row r="24415" ht="15" customHeight="1"/>
    <row r="24416" ht="15" customHeight="1"/>
    <row r="24417" ht="15" customHeight="1"/>
    <row r="24418" ht="15" customHeight="1"/>
    <row r="24419" ht="15" customHeight="1"/>
    <row r="24420" ht="15" customHeight="1"/>
    <row r="24421" ht="15" customHeight="1"/>
    <row r="24422" ht="15" customHeight="1"/>
    <row r="24423" ht="15" customHeight="1"/>
    <row r="24424" ht="15" customHeight="1"/>
    <row r="24425" ht="15" customHeight="1"/>
    <row r="24426" ht="15" customHeight="1"/>
    <row r="24427" ht="15" customHeight="1"/>
    <row r="24428" ht="15" customHeight="1"/>
    <row r="24429" ht="15" customHeight="1"/>
    <row r="24430" ht="15" customHeight="1"/>
    <row r="24431" ht="15" customHeight="1"/>
    <row r="24432" ht="15" customHeight="1"/>
    <row r="24433" ht="15" customHeight="1"/>
    <row r="24434" ht="15" customHeight="1"/>
    <row r="24435" ht="15" customHeight="1"/>
    <row r="24436" ht="15" customHeight="1"/>
    <row r="24437" ht="15" customHeight="1"/>
    <row r="24438" ht="15" customHeight="1"/>
    <row r="24439" ht="15" customHeight="1"/>
    <row r="24440" ht="15" customHeight="1"/>
    <row r="24441" ht="15" customHeight="1"/>
    <row r="24442" ht="15" customHeight="1"/>
    <row r="24443" ht="15" customHeight="1"/>
    <row r="24444" ht="15" customHeight="1"/>
    <row r="24445" ht="15" customHeight="1"/>
    <row r="24446" ht="15" customHeight="1"/>
    <row r="24447" ht="15" customHeight="1"/>
    <row r="24448" ht="15" customHeight="1"/>
    <row r="24449" ht="15" customHeight="1"/>
    <row r="24450" ht="15" customHeight="1"/>
    <row r="24451" ht="15" customHeight="1"/>
    <row r="24452" ht="15" customHeight="1"/>
    <row r="24453" ht="15" customHeight="1"/>
    <row r="24454" ht="15" customHeight="1"/>
    <row r="24455" ht="15" customHeight="1"/>
    <row r="24456" ht="15" customHeight="1"/>
    <row r="24457" ht="15" customHeight="1"/>
    <row r="24458" ht="15" customHeight="1"/>
    <row r="24459" ht="15" customHeight="1"/>
    <row r="24460" ht="15" customHeight="1"/>
    <row r="24461" ht="15" customHeight="1"/>
    <row r="24462" ht="15" customHeight="1"/>
    <row r="24463" ht="15" customHeight="1"/>
    <row r="24464" ht="15" customHeight="1"/>
    <row r="24465" ht="15" customHeight="1"/>
    <row r="24466" ht="15" customHeight="1"/>
    <row r="24467" ht="15" customHeight="1"/>
    <row r="24468" ht="15" customHeight="1"/>
    <row r="24469" ht="15" customHeight="1"/>
    <row r="24470" ht="15" customHeight="1"/>
    <row r="24471" ht="15" customHeight="1"/>
    <row r="24472" ht="15" customHeight="1"/>
    <row r="24473" ht="15" customHeight="1"/>
    <row r="24474" ht="15" customHeight="1"/>
    <row r="24475" ht="15" customHeight="1"/>
    <row r="24476" ht="15" customHeight="1"/>
    <row r="24477" ht="15" customHeight="1"/>
    <row r="24478" ht="15" customHeight="1"/>
    <row r="24479" ht="15" customHeight="1"/>
    <row r="24480" ht="15" customHeight="1"/>
    <row r="24481" ht="15" customHeight="1"/>
    <row r="24482" ht="15" customHeight="1"/>
    <row r="24483" ht="15" customHeight="1"/>
    <row r="24484" ht="15" customHeight="1"/>
    <row r="24485" ht="15" customHeight="1"/>
    <row r="24486" ht="15" customHeight="1"/>
    <row r="24487" ht="15" customHeight="1"/>
    <row r="24488" ht="15" customHeight="1"/>
    <row r="24489" ht="15" customHeight="1"/>
    <row r="24490" ht="15" customHeight="1"/>
    <row r="24491" ht="15" customHeight="1"/>
    <row r="24492" ht="15" customHeight="1"/>
    <row r="24493" ht="15" customHeight="1"/>
    <row r="24494" ht="15" customHeight="1"/>
    <row r="24495" ht="15" customHeight="1"/>
    <row r="24496" ht="15" customHeight="1"/>
    <row r="24497" ht="15" customHeight="1"/>
    <row r="24498" ht="15" customHeight="1"/>
    <row r="24499" ht="15" customHeight="1"/>
    <row r="24500" ht="15" customHeight="1"/>
    <row r="24501" ht="15" customHeight="1"/>
    <row r="24502" ht="15" customHeight="1"/>
    <row r="24503" ht="15" customHeight="1"/>
    <row r="24504" ht="15" customHeight="1"/>
    <row r="24505" ht="15" customHeight="1"/>
    <row r="24506" ht="15" customHeight="1"/>
    <row r="24507" ht="15" customHeight="1"/>
    <row r="24508" ht="15" customHeight="1"/>
    <row r="24509" ht="15" customHeight="1"/>
    <row r="24510" ht="15" customHeight="1"/>
    <row r="24511" ht="15" customHeight="1"/>
    <row r="24512" ht="15" customHeight="1"/>
    <row r="24513" ht="15" customHeight="1"/>
    <row r="24514" ht="15" customHeight="1"/>
    <row r="24515" ht="15" customHeight="1"/>
    <row r="24516" ht="15" customHeight="1"/>
    <row r="24517" ht="15" customHeight="1"/>
    <row r="24518" ht="15" customHeight="1"/>
    <row r="24519" ht="15" customHeight="1"/>
    <row r="24520" ht="15" customHeight="1"/>
    <row r="24521" ht="15" customHeight="1"/>
    <row r="24522" ht="15" customHeight="1"/>
    <row r="24523" ht="15" customHeight="1"/>
    <row r="24524" ht="15" customHeight="1"/>
    <row r="24525" ht="15" customHeight="1"/>
    <row r="24526" ht="15" customHeight="1"/>
    <row r="24527" ht="15" customHeight="1"/>
    <row r="24528" ht="15" customHeight="1"/>
    <row r="24529" ht="15" customHeight="1"/>
    <row r="24530" ht="15" customHeight="1"/>
    <row r="24531" ht="15" customHeight="1"/>
    <row r="24532" ht="15" customHeight="1"/>
    <row r="24533" ht="15" customHeight="1"/>
    <row r="24534" ht="15" customHeight="1"/>
    <row r="24535" ht="15" customHeight="1"/>
    <row r="24536" ht="15" customHeight="1"/>
    <row r="24537" ht="15" customHeight="1"/>
    <row r="24538" ht="15" customHeight="1"/>
    <row r="24539" ht="15" customHeight="1"/>
    <row r="24540" ht="15" customHeight="1"/>
    <row r="24541" ht="15" customHeight="1"/>
    <row r="24542" ht="15" customHeight="1"/>
    <row r="24543" ht="15" customHeight="1"/>
    <row r="24544" ht="15" customHeight="1"/>
    <row r="24545" ht="15" customHeight="1"/>
    <row r="24546" ht="15" customHeight="1"/>
    <row r="24547" ht="15" customHeight="1"/>
    <row r="24548" ht="15" customHeight="1"/>
    <row r="24549" ht="15" customHeight="1"/>
    <row r="24550" ht="15" customHeight="1"/>
    <row r="24551" ht="15" customHeight="1"/>
    <row r="24552" ht="15" customHeight="1"/>
    <row r="24553" ht="15" customHeight="1"/>
    <row r="24554" ht="15" customHeight="1"/>
    <row r="24555" ht="15" customHeight="1"/>
    <row r="24556" ht="15" customHeight="1"/>
    <row r="24557" ht="15" customHeight="1"/>
    <row r="24558" ht="15" customHeight="1"/>
    <row r="24559" ht="15" customHeight="1"/>
    <row r="24560" ht="15" customHeight="1"/>
    <row r="24561" ht="15" customHeight="1"/>
    <row r="24562" ht="15" customHeight="1"/>
    <row r="24563" ht="15" customHeight="1"/>
    <row r="24564" ht="15" customHeight="1"/>
    <row r="24565" ht="15" customHeight="1"/>
    <row r="24566" ht="15" customHeight="1"/>
    <row r="24567" ht="15" customHeight="1"/>
    <row r="24568" ht="15" customHeight="1"/>
    <row r="24569" ht="15" customHeight="1"/>
    <row r="24570" ht="15" customHeight="1"/>
    <row r="24571" ht="15" customHeight="1"/>
    <row r="24572" ht="15" customHeight="1"/>
    <row r="24573" ht="15" customHeight="1"/>
    <row r="24574" ht="15" customHeight="1"/>
    <row r="24575" ht="15" customHeight="1"/>
    <row r="24576" ht="15" customHeight="1"/>
    <row r="24577" ht="15" customHeight="1"/>
    <row r="24578" ht="15" customHeight="1"/>
    <row r="24579" ht="15" customHeight="1"/>
    <row r="24580" ht="15" customHeight="1"/>
    <row r="24581" ht="15" customHeight="1"/>
    <row r="24582" ht="15" customHeight="1"/>
    <row r="24583" ht="15" customHeight="1"/>
    <row r="24584" ht="15" customHeight="1"/>
    <row r="24585" ht="15" customHeight="1"/>
    <row r="24586" ht="15" customHeight="1"/>
    <row r="24587" ht="15" customHeight="1"/>
    <row r="24588" ht="15" customHeight="1"/>
    <row r="24589" ht="15" customHeight="1"/>
    <row r="24590" ht="15" customHeight="1"/>
    <row r="24591" ht="15" customHeight="1"/>
    <row r="24592" ht="15" customHeight="1"/>
    <row r="24593" ht="15" customHeight="1"/>
    <row r="24594" ht="15" customHeight="1"/>
    <row r="24595" ht="15" customHeight="1"/>
    <row r="24596" ht="15" customHeight="1"/>
    <row r="24597" ht="15" customHeight="1"/>
    <row r="24598" ht="15" customHeight="1"/>
    <row r="24599" ht="15" customHeight="1"/>
    <row r="24600" ht="15" customHeight="1"/>
    <row r="24601" ht="15" customHeight="1"/>
    <row r="24602" ht="15" customHeight="1"/>
    <row r="24603" ht="15" customHeight="1"/>
    <row r="24604" ht="15" customHeight="1"/>
    <row r="24605" ht="15" customHeight="1"/>
    <row r="24606" ht="15" customHeight="1"/>
    <row r="24607" ht="15" customHeight="1"/>
    <row r="24608" ht="15" customHeight="1"/>
    <row r="24609" ht="15" customHeight="1"/>
    <row r="24610" ht="15" customHeight="1"/>
    <row r="24611" ht="15" customHeight="1"/>
    <row r="24612" ht="15" customHeight="1"/>
    <row r="24613" ht="15" customHeight="1"/>
    <row r="24614" ht="15" customHeight="1"/>
    <row r="24615" ht="15" customHeight="1"/>
    <row r="24616" ht="15" customHeight="1"/>
    <row r="24617" ht="15" customHeight="1"/>
    <row r="24618" ht="15" customHeight="1"/>
    <row r="24619" ht="15" customHeight="1"/>
    <row r="24620" ht="15" customHeight="1"/>
    <row r="24621" ht="15" customHeight="1"/>
    <row r="24622" ht="15" customHeight="1"/>
    <row r="24623" ht="15" customHeight="1"/>
    <row r="24624" ht="15" customHeight="1"/>
    <row r="24625" ht="15" customHeight="1"/>
    <row r="24626" ht="15" customHeight="1"/>
    <row r="24627" ht="15" customHeight="1"/>
    <row r="24628" ht="15" customHeight="1"/>
    <row r="24629" ht="15" customHeight="1"/>
    <row r="24630" ht="15" customHeight="1"/>
    <row r="24631" ht="15" customHeight="1"/>
    <row r="24632" ht="15" customHeight="1"/>
    <row r="24633" ht="15" customHeight="1"/>
    <row r="24634" ht="15" customHeight="1"/>
    <row r="24635" ht="15" customHeight="1"/>
    <row r="24636" ht="15" customHeight="1"/>
    <row r="24637" ht="15" customHeight="1"/>
    <row r="24638" ht="15" customHeight="1"/>
    <row r="24639" ht="15" customHeight="1"/>
    <row r="24640" ht="15" customHeight="1"/>
    <row r="24641" ht="15" customHeight="1"/>
    <row r="24642" ht="15" customHeight="1"/>
    <row r="24643" ht="15" customHeight="1"/>
    <row r="24644" ht="15" customHeight="1"/>
    <row r="24645" ht="15" customHeight="1"/>
    <row r="24646" ht="15" customHeight="1"/>
    <row r="24647" ht="15" customHeight="1"/>
    <row r="24648" ht="15" customHeight="1"/>
    <row r="24649" ht="15" customHeight="1"/>
    <row r="24650" ht="15" customHeight="1"/>
    <row r="24651" ht="15" customHeight="1"/>
    <row r="24652" ht="15" customHeight="1"/>
    <row r="24653" ht="15" customHeight="1"/>
    <row r="24654" ht="15" customHeight="1"/>
    <row r="24655" ht="15" customHeight="1"/>
    <row r="24656" ht="15" customHeight="1"/>
    <row r="24657" ht="15" customHeight="1"/>
    <row r="24658" ht="15" customHeight="1"/>
    <row r="24659" ht="15" customHeight="1"/>
    <row r="24660" ht="15" customHeight="1"/>
    <row r="24661" ht="15" customHeight="1"/>
    <row r="24662" ht="15" customHeight="1"/>
    <row r="24663" ht="15" customHeight="1"/>
    <row r="24664" ht="15" customHeight="1"/>
    <row r="24665" ht="15" customHeight="1"/>
    <row r="24666" ht="15" customHeight="1"/>
    <row r="24667" ht="15" customHeight="1"/>
    <row r="24668" ht="15" customHeight="1"/>
    <row r="24669" ht="15" customHeight="1"/>
    <row r="24670" ht="15" customHeight="1"/>
    <row r="24671" ht="15" customHeight="1"/>
    <row r="24672" ht="15" customHeight="1"/>
    <row r="24673" ht="15" customHeight="1"/>
    <row r="24674" ht="15" customHeight="1"/>
    <row r="24675" ht="15" customHeight="1"/>
    <row r="24676" ht="15" customHeight="1"/>
    <row r="24677" ht="15" customHeight="1"/>
    <row r="24678" ht="15" customHeight="1"/>
    <row r="24679" ht="15" customHeight="1"/>
    <row r="24680" ht="15" customHeight="1"/>
    <row r="24681" ht="15" customHeight="1"/>
    <row r="24682" ht="15" customHeight="1"/>
    <row r="24683" ht="15" customHeight="1"/>
    <row r="24684" ht="15" customHeight="1"/>
    <row r="24685" ht="15" customHeight="1"/>
    <row r="24686" ht="15" customHeight="1"/>
    <row r="24687" ht="15" customHeight="1"/>
    <row r="24688" ht="15" customHeight="1"/>
    <row r="24689" ht="15" customHeight="1"/>
    <row r="24690" ht="15" customHeight="1"/>
    <row r="24691" ht="15" customHeight="1"/>
    <row r="24692" ht="15" customHeight="1"/>
    <row r="24693" ht="15" customHeight="1"/>
    <row r="24694" ht="15" customHeight="1"/>
    <row r="24695" ht="15" customHeight="1"/>
    <row r="24696" ht="15" customHeight="1"/>
    <row r="24697" ht="15" customHeight="1"/>
    <row r="24698" ht="15" customHeight="1"/>
    <row r="24699" ht="15" customHeight="1"/>
    <row r="24700" ht="15" customHeight="1"/>
    <row r="24701" ht="15" customHeight="1"/>
    <row r="24702" ht="15" customHeight="1"/>
    <row r="24703" ht="15" customHeight="1"/>
    <row r="24704" ht="15" customHeight="1"/>
    <row r="24705" ht="15" customHeight="1"/>
    <row r="24706" ht="15" customHeight="1"/>
    <row r="24707" ht="15" customHeight="1"/>
    <row r="24708" ht="15" customHeight="1"/>
    <row r="24709" ht="15" customHeight="1"/>
    <row r="24710" ht="15" customHeight="1"/>
    <row r="24711" ht="15" customHeight="1"/>
    <row r="24712" ht="15" customHeight="1"/>
    <row r="24713" ht="15" customHeight="1"/>
    <row r="24714" ht="15" customHeight="1"/>
    <row r="24715" ht="15" customHeight="1"/>
    <row r="24716" ht="15" customHeight="1"/>
    <row r="24717" ht="15" customHeight="1"/>
    <row r="24718" ht="15" customHeight="1"/>
    <row r="24719" ht="15" customHeight="1"/>
    <row r="24720" ht="15" customHeight="1"/>
    <row r="24721" ht="15" customHeight="1"/>
    <row r="24722" ht="15" customHeight="1"/>
    <row r="24723" ht="15" customHeight="1"/>
    <row r="24724" ht="15" customHeight="1"/>
    <row r="24725" ht="15" customHeight="1"/>
    <row r="24726" ht="15" customHeight="1"/>
    <row r="24727" ht="15" customHeight="1"/>
    <row r="24728" ht="15" customHeight="1"/>
    <row r="24729" ht="15" customHeight="1"/>
    <row r="24730" ht="15" customHeight="1"/>
    <row r="24731" ht="15" customHeight="1"/>
    <row r="24732" ht="15" customHeight="1"/>
    <row r="24733" ht="15" customHeight="1"/>
    <row r="24734" ht="15" customHeight="1"/>
    <row r="24735" ht="15" customHeight="1"/>
    <row r="24736" ht="15" customHeight="1"/>
    <row r="24737" ht="15" customHeight="1"/>
    <row r="24738" ht="15" customHeight="1"/>
    <row r="24739" ht="15" customHeight="1"/>
    <row r="24740" ht="15" customHeight="1"/>
    <row r="24741" ht="15" customHeight="1"/>
    <row r="24742" ht="15" customHeight="1"/>
    <row r="24743" ht="15" customHeight="1"/>
    <row r="24744" ht="15" customHeight="1"/>
    <row r="24745" ht="15" customHeight="1"/>
    <row r="24746" ht="15" customHeight="1"/>
    <row r="24747" ht="15" customHeight="1"/>
    <row r="24748" ht="15" customHeight="1"/>
    <row r="24749" ht="15" customHeight="1"/>
    <row r="24750" ht="15" customHeight="1"/>
    <row r="24751" ht="15" customHeight="1"/>
    <row r="24752" ht="15" customHeight="1"/>
    <row r="24753" ht="15" customHeight="1"/>
    <row r="24754" ht="15" customHeight="1"/>
    <row r="24755" ht="15" customHeight="1"/>
    <row r="24756" ht="15" customHeight="1"/>
    <row r="24757" ht="15" customHeight="1"/>
    <row r="24758" ht="15" customHeight="1"/>
    <row r="24759" ht="15" customHeight="1"/>
    <row r="24760" ht="15" customHeight="1"/>
    <row r="24761" ht="15" customHeight="1"/>
    <row r="24762" ht="15" customHeight="1"/>
    <row r="24763" ht="15" customHeight="1"/>
    <row r="24764" ht="15" customHeight="1"/>
    <row r="24765" ht="15" customHeight="1"/>
    <row r="24766" ht="15" customHeight="1"/>
    <row r="24767" ht="15" customHeight="1"/>
    <row r="24768" ht="15" customHeight="1"/>
    <row r="24769" ht="15" customHeight="1"/>
    <row r="24770" ht="15" customHeight="1"/>
    <row r="24771" ht="15" customHeight="1"/>
    <row r="24772" ht="15" customHeight="1"/>
    <row r="24773" ht="15" customHeight="1"/>
    <row r="24774" ht="15" customHeight="1"/>
    <row r="24775" ht="15" customHeight="1"/>
    <row r="24776" ht="15" customHeight="1"/>
    <row r="24777" ht="15" customHeight="1"/>
    <row r="24778" ht="15" customHeight="1"/>
    <row r="24779" ht="15" customHeight="1"/>
    <row r="24780" ht="15" customHeight="1"/>
    <row r="24781" ht="15" customHeight="1"/>
    <row r="24782" ht="15" customHeight="1"/>
    <row r="24783" ht="15" customHeight="1"/>
    <row r="24784" ht="15" customHeight="1"/>
    <row r="24785" ht="15" customHeight="1"/>
    <row r="24786" ht="15" customHeight="1"/>
    <row r="24787" ht="15" customHeight="1"/>
    <row r="24788" ht="15" customHeight="1"/>
    <row r="24789" ht="15" customHeight="1"/>
    <row r="24790" ht="15" customHeight="1"/>
    <row r="24791" ht="15" customHeight="1"/>
    <row r="24792" ht="15" customHeight="1"/>
    <row r="24793" ht="15" customHeight="1"/>
    <row r="24794" ht="15" customHeight="1"/>
    <row r="24795" ht="15" customHeight="1"/>
    <row r="24796" ht="15" customHeight="1"/>
    <row r="24797" ht="15" customHeight="1"/>
    <row r="24798" ht="15" customHeight="1"/>
    <row r="24799" ht="15" customHeight="1"/>
    <row r="24800" ht="15" customHeight="1"/>
    <row r="24801" ht="15" customHeight="1"/>
    <row r="24802" ht="15" customHeight="1"/>
    <row r="24803" ht="15" customHeight="1"/>
    <row r="24804" ht="15" customHeight="1"/>
    <row r="24805" ht="15" customHeight="1"/>
    <row r="24806" ht="15" customHeight="1"/>
    <row r="24807" ht="15" customHeight="1"/>
    <row r="24808" ht="15" customHeight="1"/>
    <row r="24809" ht="15" customHeight="1"/>
    <row r="24810" ht="15" customHeight="1"/>
    <row r="24811" ht="15" customHeight="1"/>
    <row r="24812" ht="15" customHeight="1"/>
    <row r="24813" ht="15" customHeight="1"/>
    <row r="24814" ht="15" customHeight="1"/>
    <row r="24815" ht="15" customHeight="1"/>
    <row r="24816" ht="15" customHeight="1"/>
    <row r="24817" ht="15" customHeight="1"/>
    <row r="24818" ht="15" customHeight="1"/>
    <row r="24819" ht="15" customHeight="1"/>
    <row r="24820" ht="15" customHeight="1"/>
    <row r="24821" ht="15" customHeight="1"/>
    <row r="24822" ht="15" customHeight="1"/>
    <row r="24823" ht="15" customHeight="1"/>
    <row r="24824" ht="15" customHeight="1"/>
    <row r="24825" ht="15" customHeight="1"/>
    <row r="24826" ht="15" customHeight="1"/>
    <row r="24827" ht="15" customHeight="1"/>
    <row r="24828" ht="15" customHeight="1"/>
    <row r="24829" ht="15" customHeight="1"/>
    <row r="24830" ht="15" customHeight="1"/>
    <row r="24831" ht="15" customHeight="1"/>
    <row r="24832" ht="15" customHeight="1"/>
    <row r="24833" ht="15" customHeight="1"/>
    <row r="24834" ht="15" customHeight="1"/>
    <row r="24835" ht="15" customHeight="1"/>
    <row r="24836" ht="15" customHeight="1"/>
    <row r="24837" ht="15" customHeight="1"/>
    <row r="24838" ht="15" customHeight="1"/>
    <row r="24839" ht="15" customHeight="1"/>
    <row r="24840" ht="15" customHeight="1"/>
    <row r="24841" ht="15" customHeight="1"/>
    <row r="24842" ht="15" customHeight="1"/>
    <row r="24843" ht="15" customHeight="1"/>
    <row r="24844" ht="15" customHeight="1"/>
    <row r="24845" ht="15" customHeight="1"/>
    <row r="24846" ht="15" customHeight="1"/>
    <row r="24847" ht="15" customHeight="1"/>
    <row r="24848" ht="15" customHeight="1"/>
    <row r="24849" ht="15" customHeight="1"/>
    <row r="24850" ht="15" customHeight="1"/>
    <row r="24851" ht="15" customHeight="1"/>
    <row r="24852" ht="15" customHeight="1"/>
    <row r="24853" ht="15" customHeight="1"/>
    <row r="24854" ht="15" customHeight="1"/>
    <row r="24855" ht="15" customHeight="1"/>
    <row r="24856" ht="15" customHeight="1"/>
    <row r="24857" ht="15" customHeight="1"/>
    <row r="24858" ht="15" customHeight="1"/>
    <row r="24859" ht="15" customHeight="1"/>
    <row r="24860" ht="15" customHeight="1"/>
    <row r="24861" ht="15" customHeight="1"/>
    <row r="24862" ht="15" customHeight="1"/>
    <row r="24863" ht="15" customHeight="1"/>
    <row r="24864" ht="15" customHeight="1"/>
    <row r="24865" ht="15" customHeight="1"/>
    <row r="24866" ht="15" customHeight="1"/>
    <row r="24867" ht="15" customHeight="1"/>
    <row r="24868" ht="15" customHeight="1"/>
    <row r="24869" ht="15" customHeight="1"/>
    <row r="24870" ht="15" customHeight="1"/>
    <row r="24871" ht="15" customHeight="1"/>
    <row r="24872" ht="15" customHeight="1"/>
    <row r="24873" ht="15" customHeight="1"/>
    <row r="24874" ht="15" customHeight="1"/>
    <row r="24875" ht="15" customHeight="1"/>
    <row r="24876" ht="15" customHeight="1"/>
    <row r="24877" ht="15" customHeight="1"/>
    <row r="24878" ht="15" customHeight="1"/>
    <row r="24879" ht="15" customHeight="1"/>
    <row r="24880" ht="15" customHeight="1"/>
    <row r="24881" ht="15" customHeight="1"/>
    <row r="24882" ht="15" customHeight="1"/>
    <row r="24883" ht="15" customHeight="1"/>
    <row r="24884" ht="15" customHeight="1"/>
    <row r="24885" ht="15" customHeight="1"/>
    <row r="24886" ht="15" customHeight="1"/>
    <row r="24887" ht="15" customHeight="1"/>
    <row r="24888" ht="15" customHeight="1"/>
    <row r="24889" ht="15" customHeight="1"/>
    <row r="24890" ht="15" customHeight="1"/>
    <row r="24891" ht="15" customHeight="1"/>
    <row r="24892" ht="15" customHeight="1"/>
    <row r="24893" ht="15" customHeight="1"/>
    <row r="24894" ht="15" customHeight="1"/>
    <row r="24895" ht="15" customHeight="1"/>
    <row r="24896" ht="15" customHeight="1"/>
    <row r="24897" ht="15" customHeight="1"/>
    <row r="24898" ht="15" customHeight="1"/>
    <row r="24899" ht="15" customHeight="1"/>
    <row r="24900" ht="15" customHeight="1"/>
    <row r="24901" ht="15" customHeight="1"/>
    <row r="24902" ht="15" customHeight="1"/>
    <row r="24903" ht="15" customHeight="1"/>
    <row r="24904" ht="15" customHeight="1"/>
    <row r="24905" ht="15" customHeight="1"/>
    <row r="24906" ht="15" customHeight="1"/>
    <row r="24907" ht="15" customHeight="1"/>
    <row r="24908" ht="15" customHeight="1"/>
    <row r="24909" ht="15" customHeight="1"/>
    <row r="24910" ht="15" customHeight="1"/>
    <row r="24911" ht="15" customHeight="1"/>
    <row r="24912" ht="15" customHeight="1"/>
    <row r="24913" ht="15" customHeight="1"/>
    <row r="24914" ht="15" customHeight="1"/>
    <row r="24915" ht="15" customHeight="1"/>
    <row r="24916" ht="15" customHeight="1"/>
    <row r="24917" ht="15" customHeight="1"/>
    <row r="24918" ht="15" customHeight="1"/>
    <row r="24919" ht="15" customHeight="1"/>
    <row r="24920" ht="15" customHeight="1"/>
    <row r="24921" ht="15" customHeight="1"/>
    <row r="24922" ht="15" customHeight="1"/>
    <row r="24923" ht="15" customHeight="1"/>
    <row r="24924" ht="15" customHeight="1"/>
    <row r="24925" ht="15" customHeight="1"/>
    <row r="24926" ht="15" customHeight="1"/>
    <row r="24927" ht="15" customHeight="1"/>
    <row r="24928" ht="15" customHeight="1"/>
    <row r="24929" ht="15" customHeight="1"/>
    <row r="24930" ht="15" customHeight="1"/>
    <row r="24931" ht="15" customHeight="1"/>
    <row r="24932" ht="15" customHeight="1"/>
    <row r="24933" ht="15" customHeight="1"/>
    <row r="24934" ht="15" customHeight="1"/>
    <row r="24935" ht="15" customHeight="1"/>
    <row r="24936" ht="15" customHeight="1"/>
    <row r="24937" ht="15" customHeight="1"/>
    <row r="24938" ht="15" customHeight="1"/>
    <row r="24939" ht="15" customHeight="1"/>
    <row r="24940" ht="15" customHeight="1"/>
    <row r="24941" ht="15" customHeight="1"/>
    <row r="24942" ht="15" customHeight="1"/>
    <row r="24943" ht="15" customHeight="1"/>
    <row r="24944" ht="15" customHeight="1"/>
    <row r="24945" ht="15" customHeight="1"/>
    <row r="24946" ht="15" customHeight="1"/>
    <row r="24947" ht="15" customHeight="1"/>
    <row r="24948" ht="15" customHeight="1"/>
    <row r="24949" ht="15" customHeight="1"/>
    <row r="24950" ht="15" customHeight="1"/>
    <row r="24951" ht="15" customHeight="1"/>
    <row r="24952" ht="15" customHeight="1"/>
    <row r="24953" ht="15" customHeight="1"/>
    <row r="24954" ht="15" customHeight="1"/>
    <row r="24955" ht="15" customHeight="1"/>
    <row r="24956" ht="15" customHeight="1"/>
    <row r="24957" ht="15" customHeight="1"/>
    <row r="24958" ht="15" customHeight="1"/>
    <row r="24959" ht="15" customHeight="1"/>
    <row r="24960" ht="15" customHeight="1"/>
    <row r="24961" ht="15" customHeight="1"/>
    <row r="24962" ht="15" customHeight="1"/>
    <row r="24963" ht="15" customHeight="1"/>
    <row r="24964" ht="15" customHeight="1"/>
    <row r="24965" ht="15" customHeight="1"/>
    <row r="24966" ht="15" customHeight="1"/>
    <row r="24967" ht="15" customHeight="1"/>
    <row r="24968" ht="15" customHeight="1"/>
    <row r="24969" ht="15" customHeight="1"/>
    <row r="24970" ht="15" customHeight="1"/>
    <row r="24971" ht="15" customHeight="1"/>
    <row r="24972" ht="15" customHeight="1"/>
    <row r="24973" ht="15" customHeight="1"/>
    <row r="24974" ht="15" customHeight="1"/>
    <row r="24975" ht="15" customHeight="1"/>
    <row r="24976" ht="15" customHeight="1"/>
    <row r="24977" ht="15" customHeight="1"/>
    <row r="24978" ht="15" customHeight="1"/>
    <row r="24979" ht="15" customHeight="1"/>
    <row r="24980" ht="15" customHeight="1"/>
    <row r="24981" ht="15" customHeight="1"/>
    <row r="24982" ht="15" customHeight="1"/>
    <row r="24983" ht="15" customHeight="1"/>
    <row r="24984" ht="15" customHeight="1"/>
    <row r="24985" ht="15" customHeight="1"/>
    <row r="24986" ht="15" customHeight="1"/>
    <row r="24987" ht="15" customHeight="1"/>
    <row r="24988" ht="15" customHeight="1"/>
    <row r="24989" ht="15" customHeight="1"/>
    <row r="24990" ht="15" customHeight="1"/>
    <row r="24991" ht="15" customHeight="1"/>
    <row r="24992" ht="15" customHeight="1"/>
    <row r="24993" ht="15" customHeight="1"/>
    <row r="24994" ht="15" customHeight="1"/>
    <row r="24995" ht="15" customHeight="1"/>
    <row r="24996" ht="15" customHeight="1"/>
    <row r="24997" ht="15" customHeight="1"/>
    <row r="24998" ht="15" customHeight="1"/>
    <row r="24999" ht="15" customHeight="1"/>
    <row r="25000" ht="15" customHeight="1"/>
    <row r="25001" ht="15" customHeight="1"/>
    <row r="25002" ht="15" customHeight="1"/>
    <row r="25003" ht="15" customHeight="1"/>
    <row r="25004" ht="15" customHeight="1"/>
    <row r="25005" ht="15" customHeight="1"/>
    <row r="25006" ht="15" customHeight="1"/>
    <row r="25007" ht="15" customHeight="1"/>
    <row r="25008" ht="15" customHeight="1"/>
    <row r="25009" ht="15" customHeight="1"/>
    <row r="25010" ht="15" customHeight="1"/>
    <row r="25011" ht="15" customHeight="1"/>
    <row r="25012" ht="15" customHeight="1"/>
    <row r="25013" ht="15" customHeight="1"/>
    <row r="25014" ht="15" customHeight="1"/>
    <row r="25015" ht="15" customHeight="1"/>
    <row r="25016" ht="15" customHeight="1"/>
    <row r="25017" ht="15" customHeight="1"/>
    <row r="25018" ht="15" customHeight="1"/>
    <row r="25019" ht="15" customHeight="1"/>
    <row r="25020" ht="15" customHeight="1"/>
    <row r="25021" ht="15" customHeight="1"/>
    <row r="25022" ht="15" customHeight="1"/>
    <row r="25023" ht="15" customHeight="1"/>
    <row r="25024" ht="15" customHeight="1"/>
    <row r="25025" ht="15" customHeight="1"/>
    <row r="25026" ht="15" customHeight="1"/>
    <row r="25027" ht="15" customHeight="1"/>
    <row r="25028" ht="15" customHeight="1"/>
    <row r="25029" ht="15" customHeight="1"/>
    <row r="25030" ht="15" customHeight="1"/>
    <row r="25031" ht="15" customHeight="1"/>
    <row r="25032" ht="15" customHeight="1"/>
    <row r="25033" ht="15" customHeight="1"/>
    <row r="25034" ht="15" customHeight="1"/>
    <row r="25035" ht="15" customHeight="1"/>
    <row r="25036" ht="15" customHeight="1"/>
    <row r="25037" ht="15" customHeight="1"/>
    <row r="25038" ht="15" customHeight="1"/>
    <row r="25039" ht="15" customHeight="1"/>
    <row r="25040" ht="15" customHeight="1"/>
    <row r="25041" ht="15" customHeight="1"/>
    <row r="25042" ht="15" customHeight="1"/>
    <row r="25043" ht="15" customHeight="1"/>
    <row r="25044" ht="15" customHeight="1"/>
    <row r="25045" ht="15" customHeight="1"/>
    <row r="25046" ht="15" customHeight="1"/>
    <row r="25047" ht="15" customHeight="1"/>
    <row r="25048" ht="15" customHeight="1"/>
    <row r="25049" ht="15" customHeight="1"/>
    <row r="25050" ht="15" customHeight="1"/>
    <row r="25051" ht="15" customHeight="1"/>
    <row r="25052" ht="15" customHeight="1"/>
    <row r="25053" ht="15" customHeight="1"/>
    <row r="25054" ht="15" customHeight="1"/>
    <row r="25055" ht="15" customHeight="1"/>
    <row r="25056" ht="15" customHeight="1"/>
    <row r="25057" ht="15" customHeight="1"/>
    <row r="25058" ht="15" customHeight="1"/>
    <row r="25059" ht="15" customHeight="1"/>
    <row r="25060" ht="15" customHeight="1"/>
    <row r="25061" ht="15" customHeight="1"/>
    <row r="25062" ht="15" customHeight="1"/>
    <row r="25063" ht="15" customHeight="1"/>
    <row r="25064" ht="15" customHeight="1"/>
    <row r="25065" ht="15" customHeight="1"/>
    <row r="25066" ht="15" customHeight="1"/>
    <row r="25067" ht="15" customHeight="1"/>
    <row r="25068" ht="15" customHeight="1"/>
    <row r="25069" ht="15" customHeight="1"/>
    <row r="25070" ht="15" customHeight="1"/>
    <row r="25071" ht="15" customHeight="1"/>
    <row r="25072" ht="15" customHeight="1"/>
    <row r="25073" ht="15" customHeight="1"/>
    <row r="25074" ht="15" customHeight="1"/>
    <row r="25075" ht="15" customHeight="1"/>
    <row r="25076" ht="15" customHeight="1"/>
    <row r="25077" ht="15" customHeight="1"/>
    <row r="25078" ht="15" customHeight="1"/>
    <row r="25079" ht="15" customHeight="1"/>
    <row r="25080" ht="15" customHeight="1"/>
    <row r="25081" ht="15" customHeight="1"/>
    <row r="25082" ht="15" customHeight="1"/>
    <row r="25083" ht="15" customHeight="1"/>
    <row r="25084" ht="15" customHeight="1"/>
    <row r="25085" ht="15" customHeight="1"/>
    <row r="25086" ht="15" customHeight="1"/>
    <row r="25087" ht="15" customHeight="1"/>
    <row r="25088" ht="15" customHeight="1"/>
    <row r="25089" ht="15" customHeight="1"/>
    <row r="25090" ht="15" customHeight="1"/>
    <row r="25091" ht="15" customHeight="1"/>
    <row r="25092" ht="15" customHeight="1"/>
    <row r="25093" ht="15" customHeight="1"/>
    <row r="25094" ht="15" customHeight="1"/>
    <row r="25095" ht="15" customHeight="1"/>
    <row r="25096" ht="15" customHeight="1"/>
    <row r="25097" ht="15" customHeight="1"/>
    <row r="25098" ht="15" customHeight="1"/>
    <row r="25099" ht="15" customHeight="1"/>
    <row r="25100" ht="15" customHeight="1"/>
    <row r="25101" ht="15" customHeight="1"/>
    <row r="25102" ht="15" customHeight="1"/>
    <row r="25103" ht="15" customHeight="1"/>
    <row r="25104" ht="15" customHeight="1"/>
    <row r="25105" ht="15" customHeight="1"/>
    <row r="25106" ht="15" customHeight="1"/>
    <row r="25107" ht="15" customHeight="1"/>
    <row r="25108" ht="15" customHeight="1"/>
    <row r="25109" ht="15" customHeight="1"/>
    <row r="25110" ht="15" customHeight="1"/>
    <row r="25111" ht="15" customHeight="1"/>
    <row r="25112" ht="15" customHeight="1"/>
    <row r="25113" ht="15" customHeight="1"/>
    <row r="25114" ht="15" customHeight="1"/>
    <row r="25115" ht="15" customHeight="1"/>
    <row r="25116" ht="15" customHeight="1"/>
    <row r="25117" ht="15" customHeight="1"/>
    <row r="25118" ht="15" customHeight="1"/>
    <row r="25119" ht="15" customHeight="1"/>
    <row r="25120" ht="15" customHeight="1"/>
    <row r="25121" ht="15" customHeight="1"/>
    <row r="25122" ht="15" customHeight="1"/>
    <row r="25123" ht="15" customHeight="1"/>
    <row r="25124" ht="15" customHeight="1"/>
    <row r="25125" ht="15" customHeight="1"/>
    <row r="25126" ht="15" customHeight="1"/>
    <row r="25127" ht="15" customHeight="1"/>
    <row r="25128" ht="15" customHeight="1"/>
    <row r="25129" ht="15" customHeight="1"/>
    <row r="25130" ht="15" customHeight="1"/>
    <row r="25131" ht="15" customHeight="1"/>
    <row r="25132" ht="15" customHeight="1"/>
    <row r="25133" ht="15" customHeight="1"/>
    <row r="25134" ht="15" customHeight="1"/>
    <row r="25135" ht="15" customHeight="1"/>
    <row r="25136" ht="15" customHeight="1"/>
    <row r="25137" ht="15" customHeight="1"/>
    <row r="25138" ht="15" customHeight="1"/>
    <row r="25139" ht="15" customHeight="1"/>
    <row r="25140" ht="15" customHeight="1"/>
    <row r="25141" ht="15" customHeight="1"/>
    <row r="25142" ht="15" customHeight="1"/>
    <row r="25143" ht="15" customHeight="1"/>
    <row r="25144" ht="15" customHeight="1"/>
    <row r="25145" ht="15" customHeight="1"/>
    <row r="25146" ht="15" customHeight="1"/>
    <row r="25147" ht="15" customHeight="1"/>
    <row r="25148" ht="15" customHeight="1"/>
    <row r="25149" ht="15" customHeight="1"/>
    <row r="25150" ht="15" customHeight="1"/>
    <row r="25151" ht="15" customHeight="1"/>
    <row r="25152" ht="15" customHeight="1"/>
    <row r="25153" ht="15" customHeight="1"/>
    <row r="25154" ht="15" customHeight="1"/>
    <row r="25155" ht="15" customHeight="1"/>
    <row r="25156" ht="15" customHeight="1"/>
    <row r="25157" ht="15" customHeight="1"/>
    <row r="25158" ht="15" customHeight="1"/>
    <row r="25159" ht="15" customHeight="1"/>
    <row r="25160" ht="15" customHeight="1"/>
    <row r="25161" ht="15" customHeight="1"/>
    <row r="25162" ht="15" customHeight="1"/>
    <row r="25163" ht="15" customHeight="1"/>
    <row r="25164" ht="15" customHeight="1"/>
    <row r="25165" ht="15" customHeight="1"/>
    <row r="25166" ht="15" customHeight="1"/>
    <row r="25167" ht="15" customHeight="1"/>
    <row r="25168" ht="15" customHeight="1"/>
    <row r="25169" ht="15" customHeight="1"/>
    <row r="25170" ht="15" customHeight="1"/>
    <row r="25171" ht="15" customHeight="1"/>
    <row r="25172" ht="15" customHeight="1"/>
    <row r="25173" ht="15" customHeight="1"/>
    <row r="25174" ht="15" customHeight="1"/>
    <row r="25175" ht="15" customHeight="1"/>
    <row r="25176" ht="15" customHeight="1"/>
    <row r="25177" ht="15" customHeight="1"/>
    <row r="25178" ht="15" customHeight="1"/>
    <row r="25179" ht="15" customHeight="1"/>
    <row r="25180" ht="15" customHeight="1"/>
    <row r="25181" ht="15" customHeight="1"/>
    <row r="25182" ht="15" customHeight="1"/>
    <row r="25183" ht="15" customHeight="1"/>
    <row r="25184" ht="15" customHeight="1"/>
    <row r="25185" ht="15" customHeight="1"/>
    <row r="25186" ht="15" customHeight="1"/>
    <row r="25187" ht="15" customHeight="1"/>
    <row r="25188" ht="15" customHeight="1"/>
    <row r="25189" ht="15" customHeight="1"/>
    <row r="25190" ht="15" customHeight="1"/>
    <row r="25191" ht="15" customHeight="1"/>
    <row r="25192" ht="15" customHeight="1"/>
    <row r="25193" ht="15" customHeight="1"/>
    <row r="25194" ht="15" customHeight="1"/>
    <row r="25195" ht="15" customHeight="1"/>
    <row r="25196" ht="15" customHeight="1"/>
    <row r="25197" ht="15" customHeight="1"/>
    <row r="25198" ht="15" customHeight="1"/>
    <row r="25199" ht="15" customHeight="1"/>
    <row r="25200" ht="15" customHeight="1"/>
    <row r="25201" ht="15" customHeight="1"/>
    <row r="25202" ht="15" customHeight="1"/>
    <row r="25203" ht="15" customHeight="1"/>
    <row r="25204" ht="15" customHeight="1"/>
    <row r="25205" ht="15" customHeight="1"/>
    <row r="25206" ht="15" customHeight="1"/>
    <row r="25207" ht="15" customHeight="1"/>
    <row r="25208" ht="15" customHeight="1"/>
    <row r="25209" ht="15" customHeight="1"/>
    <row r="25210" ht="15" customHeight="1"/>
    <row r="25211" ht="15" customHeight="1"/>
    <row r="25212" ht="15" customHeight="1"/>
    <row r="25213" ht="15" customHeight="1"/>
    <row r="25214" ht="15" customHeight="1"/>
    <row r="25215" ht="15" customHeight="1"/>
    <row r="25216" ht="15" customHeight="1"/>
    <row r="25217" ht="15" customHeight="1"/>
    <row r="25218" ht="15" customHeight="1"/>
    <row r="25219" ht="15" customHeight="1"/>
    <row r="25220" ht="15" customHeight="1"/>
    <row r="25221" ht="15" customHeight="1"/>
    <row r="25222" ht="15" customHeight="1"/>
    <row r="25223" ht="15" customHeight="1"/>
    <row r="25224" ht="15" customHeight="1"/>
    <row r="25225" ht="15" customHeight="1"/>
    <row r="25226" ht="15" customHeight="1"/>
    <row r="25227" ht="15" customHeight="1"/>
    <row r="25228" ht="15" customHeight="1"/>
    <row r="25229" ht="15" customHeight="1"/>
    <row r="25230" ht="15" customHeight="1"/>
    <row r="25231" ht="15" customHeight="1"/>
    <row r="25232" ht="15" customHeight="1"/>
    <row r="25233" ht="15" customHeight="1"/>
    <row r="25234" ht="15" customHeight="1"/>
    <row r="25235" ht="15" customHeight="1"/>
    <row r="25236" ht="15" customHeight="1"/>
    <row r="25237" ht="15" customHeight="1"/>
    <row r="25238" ht="15" customHeight="1"/>
    <row r="25239" ht="15" customHeight="1"/>
    <row r="25240" ht="15" customHeight="1"/>
    <row r="25241" ht="15" customHeight="1"/>
    <row r="25242" ht="15" customHeight="1"/>
    <row r="25243" ht="15" customHeight="1"/>
    <row r="25244" ht="15" customHeight="1"/>
    <row r="25245" ht="15" customHeight="1"/>
    <row r="25246" ht="15" customHeight="1"/>
    <row r="25247" ht="15" customHeight="1"/>
    <row r="25248" ht="15" customHeight="1"/>
    <row r="25249" ht="15" customHeight="1"/>
    <row r="25250" ht="15" customHeight="1"/>
    <row r="25251" ht="15" customHeight="1"/>
    <row r="25252" ht="15" customHeight="1"/>
    <row r="25253" ht="15" customHeight="1"/>
    <row r="25254" ht="15" customHeight="1"/>
    <row r="25255" ht="15" customHeight="1"/>
    <row r="25256" ht="15" customHeight="1"/>
    <row r="25257" ht="15" customHeight="1"/>
    <row r="25258" ht="15" customHeight="1"/>
    <row r="25259" ht="15" customHeight="1"/>
    <row r="25260" ht="15" customHeight="1"/>
    <row r="25261" ht="15" customHeight="1"/>
    <row r="25262" ht="15" customHeight="1"/>
    <row r="25263" ht="15" customHeight="1"/>
    <row r="25264" ht="15" customHeight="1"/>
    <row r="25265" ht="15" customHeight="1"/>
    <row r="25266" ht="15" customHeight="1"/>
    <row r="25267" ht="15" customHeight="1"/>
    <row r="25268" ht="15" customHeight="1"/>
    <row r="25269" ht="15" customHeight="1"/>
    <row r="25270" ht="15" customHeight="1"/>
    <row r="25271" ht="15" customHeight="1"/>
    <row r="25272" ht="15" customHeight="1"/>
    <row r="25273" ht="15" customHeight="1"/>
    <row r="25274" ht="15" customHeight="1"/>
    <row r="25275" ht="15" customHeight="1"/>
    <row r="25276" ht="15" customHeight="1"/>
    <row r="25277" ht="15" customHeight="1"/>
    <row r="25278" ht="15" customHeight="1"/>
    <row r="25279" ht="15" customHeight="1"/>
    <row r="25280" ht="15" customHeight="1"/>
    <row r="25281" ht="15" customHeight="1"/>
    <row r="25282" ht="15" customHeight="1"/>
    <row r="25283" ht="15" customHeight="1"/>
    <row r="25284" ht="15" customHeight="1"/>
    <row r="25285" ht="15" customHeight="1"/>
    <row r="25286" ht="15" customHeight="1"/>
    <row r="25287" ht="15" customHeight="1"/>
    <row r="25288" ht="15" customHeight="1"/>
    <row r="25289" ht="15" customHeight="1"/>
    <row r="25290" ht="15" customHeight="1"/>
    <row r="25291" ht="15" customHeight="1"/>
    <row r="25292" ht="15" customHeight="1"/>
    <row r="25293" ht="15" customHeight="1"/>
    <row r="25294" ht="15" customHeight="1"/>
    <row r="25295" ht="15" customHeight="1"/>
    <row r="25296" ht="15" customHeight="1"/>
    <row r="25297" ht="15" customHeight="1"/>
    <row r="25298" ht="15" customHeight="1"/>
    <row r="25299" ht="15" customHeight="1"/>
    <row r="25300" ht="15" customHeight="1"/>
    <row r="25301" ht="15" customHeight="1"/>
    <row r="25302" ht="15" customHeight="1"/>
    <row r="25303" ht="15" customHeight="1"/>
    <row r="25304" ht="15" customHeight="1"/>
    <row r="25305" ht="15" customHeight="1"/>
    <row r="25306" ht="15" customHeight="1"/>
    <row r="25307" ht="15" customHeight="1"/>
    <row r="25308" ht="15" customHeight="1"/>
    <row r="25309" ht="15" customHeight="1"/>
    <row r="25310" ht="15" customHeight="1"/>
    <row r="25311" ht="15" customHeight="1"/>
    <row r="25312" ht="15" customHeight="1"/>
    <row r="25313" ht="15" customHeight="1"/>
    <row r="25314" ht="15" customHeight="1"/>
    <row r="25315" ht="15" customHeight="1"/>
    <row r="25316" ht="15" customHeight="1"/>
    <row r="25317" ht="15" customHeight="1"/>
    <row r="25318" ht="15" customHeight="1"/>
    <row r="25319" ht="15" customHeight="1"/>
    <row r="25320" ht="15" customHeight="1"/>
    <row r="25321" ht="15" customHeight="1"/>
    <row r="25322" ht="15" customHeight="1"/>
    <row r="25323" ht="15" customHeight="1"/>
    <row r="25324" ht="15" customHeight="1"/>
    <row r="25325" ht="15" customHeight="1"/>
    <row r="25326" ht="15" customHeight="1"/>
    <row r="25327" ht="15" customHeight="1"/>
    <row r="25328" ht="15" customHeight="1"/>
    <row r="25329" ht="15" customHeight="1"/>
    <row r="25330" ht="15" customHeight="1"/>
    <row r="25331" ht="15" customHeight="1"/>
    <row r="25332" ht="15" customHeight="1"/>
    <row r="25333" ht="15" customHeight="1"/>
    <row r="25334" ht="15" customHeight="1"/>
    <row r="25335" ht="15" customHeight="1"/>
    <row r="25336" ht="15" customHeight="1"/>
    <row r="25337" ht="15" customHeight="1"/>
    <row r="25338" ht="15" customHeight="1"/>
    <row r="25339" ht="15" customHeight="1"/>
    <row r="25340" ht="15" customHeight="1"/>
    <row r="25341" ht="15" customHeight="1"/>
    <row r="25342" ht="15" customHeight="1"/>
    <row r="25343" ht="15" customHeight="1"/>
    <row r="25344" ht="15" customHeight="1"/>
    <row r="25345" ht="15" customHeight="1"/>
    <row r="25346" ht="15" customHeight="1"/>
    <row r="25347" ht="15" customHeight="1"/>
    <row r="25348" ht="15" customHeight="1"/>
    <row r="25349" ht="15" customHeight="1"/>
    <row r="25350" ht="15" customHeight="1"/>
    <row r="25351" ht="15" customHeight="1"/>
    <row r="25352" ht="15" customHeight="1"/>
    <row r="25353" ht="15" customHeight="1"/>
    <row r="25354" ht="15" customHeight="1"/>
    <row r="25355" ht="15" customHeight="1"/>
    <row r="25356" ht="15" customHeight="1"/>
    <row r="25357" ht="15" customHeight="1"/>
    <row r="25358" ht="15" customHeight="1"/>
    <row r="25359" ht="15" customHeight="1"/>
    <row r="25360" ht="15" customHeight="1"/>
    <row r="25361" ht="15" customHeight="1"/>
    <row r="25362" ht="15" customHeight="1"/>
    <row r="25363" ht="15" customHeight="1"/>
    <row r="25364" ht="15" customHeight="1"/>
    <row r="25365" ht="15" customHeight="1"/>
    <row r="25366" ht="15" customHeight="1"/>
    <row r="25367" ht="15" customHeight="1"/>
    <row r="25368" ht="15" customHeight="1"/>
    <row r="25369" ht="15" customHeight="1"/>
    <row r="25370" ht="15" customHeight="1"/>
    <row r="25371" ht="15" customHeight="1"/>
    <row r="25372" ht="15" customHeight="1"/>
    <row r="25373" ht="15" customHeight="1"/>
    <row r="25374" ht="15" customHeight="1"/>
    <row r="25375" ht="15" customHeight="1"/>
    <row r="25376" ht="15" customHeight="1"/>
    <row r="25377" ht="15" customHeight="1"/>
    <row r="25378" ht="15" customHeight="1"/>
    <row r="25379" ht="15" customHeight="1"/>
    <row r="25380" ht="15" customHeight="1"/>
    <row r="25381" ht="15" customHeight="1"/>
    <row r="25382" ht="15" customHeight="1"/>
    <row r="25383" ht="15" customHeight="1"/>
    <row r="25384" ht="15" customHeight="1"/>
    <row r="25385" ht="15" customHeight="1"/>
    <row r="25386" ht="15" customHeight="1"/>
    <row r="25387" ht="15" customHeight="1"/>
    <row r="25388" ht="15" customHeight="1"/>
    <row r="25389" ht="15" customHeight="1"/>
    <row r="25390" ht="15" customHeight="1"/>
    <row r="25391" ht="15" customHeight="1"/>
    <row r="25392" ht="15" customHeight="1"/>
    <row r="25393" ht="15" customHeight="1"/>
    <row r="25394" ht="15" customHeight="1"/>
    <row r="25395" ht="15" customHeight="1"/>
    <row r="25396" ht="15" customHeight="1"/>
    <row r="25397" ht="15" customHeight="1"/>
    <row r="25398" ht="15" customHeight="1"/>
    <row r="25399" ht="15" customHeight="1"/>
    <row r="25400" ht="15" customHeight="1"/>
    <row r="25401" ht="15" customHeight="1"/>
    <row r="25402" ht="15" customHeight="1"/>
    <row r="25403" ht="15" customHeight="1"/>
    <row r="25404" ht="15" customHeight="1"/>
    <row r="25405" ht="15" customHeight="1"/>
    <row r="25406" ht="15" customHeight="1"/>
    <row r="25407" ht="15" customHeight="1"/>
    <row r="25408" ht="15" customHeight="1"/>
    <row r="25409" ht="15" customHeight="1"/>
    <row r="25410" ht="15" customHeight="1"/>
    <row r="25411" ht="15" customHeight="1"/>
    <row r="25412" ht="15" customHeight="1"/>
    <row r="25413" ht="15" customHeight="1"/>
    <row r="25414" ht="15" customHeight="1"/>
    <row r="25415" ht="15" customHeight="1"/>
    <row r="25416" ht="15" customHeight="1"/>
    <row r="25417" ht="15" customHeight="1"/>
    <row r="25418" ht="15" customHeight="1"/>
    <row r="25419" ht="15" customHeight="1"/>
    <row r="25420" ht="15" customHeight="1"/>
    <row r="25421" ht="15" customHeight="1"/>
    <row r="25422" ht="15" customHeight="1"/>
    <row r="25423" ht="15" customHeight="1"/>
    <row r="25424" ht="15" customHeight="1"/>
    <row r="25425" ht="15" customHeight="1"/>
    <row r="25426" ht="15" customHeight="1"/>
    <row r="25427" ht="15" customHeight="1"/>
    <row r="25428" ht="15" customHeight="1"/>
    <row r="25429" ht="15" customHeight="1"/>
    <row r="25430" ht="15" customHeight="1"/>
    <row r="25431" ht="15" customHeight="1"/>
    <row r="25432" ht="15" customHeight="1"/>
    <row r="25433" ht="15" customHeight="1"/>
    <row r="25434" ht="15" customHeight="1"/>
    <row r="25435" ht="15" customHeight="1"/>
    <row r="25436" ht="15" customHeight="1"/>
    <row r="25437" ht="15" customHeight="1"/>
    <row r="25438" ht="15" customHeight="1"/>
    <row r="25439" ht="15" customHeight="1"/>
    <row r="25440" ht="15" customHeight="1"/>
    <row r="25441" ht="15" customHeight="1"/>
    <row r="25442" ht="15" customHeight="1"/>
    <row r="25443" ht="15" customHeight="1"/>
    <row r="25444" ht="15" customHeight="1"/>
    <row r="25445" ht="15" customHeight="1"/>
    <row r="25446" ht="15" customHeight="1"/>
    <row r="25447" ht="15" customHeight="1"/>
    <row r="25448" ht="15" customHeight="1"/>
    <row r="25449" ht="15" customHeight="1"/>
    <row r="25450" ht="15" customHeight="1"/>
    <row r="25451" ht="15" customHeight="1"/>
    <row r="25452" ht="15" customHeight="1"/>
    <row r="25453" ht="15" customHeight="1"/>
    <row r="25454" ht="15" customHeight="1"/>
    <row r="25455" ht="15" customHeight="1"/>
    <row r="25456" ht="15" customHeight="1"/>
    <row r="25457" ht="15" customHeight="1"/>
    <row r="25458" ht="15" customHeight="1"/>
    <row r="25459" ht="15" customHeight="1"/>
    <row r="25460" ht="15" customHeight="1"/>
    <row r="25461" ht="15" customHeight="1"/>
    <row r="25462" ht="15" customHeight="1"/>
    <row r="25463" ht="15" customHeight="1"/>
    <row r="25464" ht="15" customHeight="1"/>
    <row r="25465" ht="15" customHeight="1"/>
    <row r="25466" ht="15" customHeight="1"/>
    <row r="25467" ht="15" customHeight="1"/>
    <row r="25468" ht="15" customHeight="1"/>
    <row r="25469" ht="15" customHeight="1"/>
    <row r="25470" ht="15" customHeight="1"/>
    <row r="25471" ht="15" customHeight="1"/>
    <row r="25472" ht="15" customHeight="1"/>
    <row r="25473" ht="15" customHeight="1"/>
    <row r="25474" ht="15" customHeight="1"/>
    <row r="25475" ht="15" customHeight="1"/>
    <row r="25476" ht="15" customHeight="1"/>
    <row r="25477" ht="15" customHeight="1"/>
    <row r="25478" ht="15" customHeight="1"/>
    <row r="25479" ht="15" customHeight="1"/>
    <row r="25480" ht="15" customHeight="1"/>
    <row r="25481" ht="15" customHeight="1"/>
    <row r="25482" ht="15" customHeight="1"/>
    <row r="25483" ht="15" customHeight="1"/>
    <row r="25484" ht="15" customHeight="1"/>
    <row r="25485" ht="15" customHeight="1"/>
    <row r="25486" ht="15" customHeight="1"/>
    <row r="25487" ht="15" customHeight="1"/>
    <row r="25488" ht="15" customHeight="1"/>
    <row r="25489" ht="15" customHeight="1"/>
    <row r="25490" ht="15" customHeight="1"/>
    <row r="25491" ht="15" customHeight="1"/>
    <row r="25492" ht="15" customHeight="1"/>
    <row r="25493" ht="15" customHeight="1"/>
    <row r="25494" ht="15" customHeight="1"/>
    <row r="25495" ht="15" customHeight="1"/>
    <row r="25496" ht="15" customHeight="1"/>
    <row r="25497" ht="15" customHeight="1"/>
    <row r="25498" ht="15" customHeight="1"/>
    <row r="25499" ht="15" customHeight="1"/>
    <row r="25500" ht="15" customHeight="1"/>
    <row r="25501" ht="15" customHeight="1"/>
    <row r="25502" ht="15" customHeight="1"/>
    <row r="25503" ht="15" customHeight="1"/>
    <row r="25504" ht="15" customHeight="1"/>
    <row r="25505" ht="15" customHeight="1"/>
    <row r="25506" ht="15" customHeight="1"/>
    <row r="25507" ht="15" customHeight="1"/>
    <row r="25508" ht="15" customHeight="1"/>
    <row r="25509" ht="15" customHeight="1"/>
    <row r="25510" ht="15" customHeight="1"/>
    <row r="25511" ht="15" customHeight="1"/>
    <row r="25512" ht="15" customHeight="1"/>
    <row r="25513" ht="15" customHeight="1"/>
    <row r="25514" ht="15" customHeight="1"/>
    <row r="25515" ht="15" customHeight="1"/>
    <row r="25516" ht="15" customHeight="1"/>
    <row r="25517" ht="15" customHeight="1"/>
    <row r="25518" ht="15" customHeight="1"/>
    <row r="25519" ht="15" customHeight="1"/>
    <row r="25520" ht="15" customHeight="1"/>
    <row r="25521" ht="15" customHeight="1"/>
    <row r="25522" ht="15" customHeight="1"/>
    <row r="25523" ht="15" customHeight="1"/>
    <row r="25524" ht="15" customHeight="1"/>
    <row r="25525" ht="15" customHeight="1"/>
    <row r="25526" ht="15" customHeight="1"/>
    <row r="25527" ht="15" customHeight="1"/>
    <row r="25528" ht="15" customHeight="1"/>
    <row r="25529" ht="15" customHeight="1"/>
    <row r="25530" ht="15" customHeight="1"/>
    <row r="25531" ht="15" customHeight="1"/>
    <row r="25532" ht="15" customHeight="1"/>
    <row r="25533" ht="15" customHeight="1"/>
    <row r="25534" ht="15" customHeight="1"/>
    <row r="25535" ht="15" customHeight="1"/>
    <row r="25536" ht="15" customHeight="1"/>
    <row r="25537" ht="15" customHeight="1"/>
    <row r="25538" ht="15" customHeight="1"/>
    <row r="25539" ht="15" customHeight="1"/>
    <row r="25540" ht="15" customHeight="1"/>
    <row r="25541" ht="15" customHeight="1"/>
    <row r="25542" ht="15" customHeight="1"/>
    <row r="25543" ht="15" customHeight="1"/>
    <row r="25544" ht="15" customHeight="1"/>
    <row r="25545" ht="15" customHeight="1"/>
    <row r="25546" ht="15" customHeight="1"/>
    <row r="25547" ht="15" customHeight="1"/>
    <row r="25548" ht="15" customHeight="1"/>
    <row r="25549" ht="15" customHeight="1"/>
    <row r="25550" ht="15" customHeight="1"/>
    <row r="25551" ht="15" customHeight="1"/>
    <row r="25552" ht="15" customHeight="1"/>
    <row r="25553" ht="15" customHeight="1"/>
    <row r="25554" ht="15" customHeight="1"/>
    <row r="25555" ht="15" customHeight="1"/>
    <row r="25556" ht="15" customHeight="1"/>
    <row r="25557" ht="15" customHeight="1"/>
    <row r="25558" ht="15" customHeight="1"/>
    <row r="25559" ht="15" customHeight="1"/>
    <row r="25560" ht="15" customHeight="1"/>
    <row r="25561" ht="15" customHeight="1"/>
    <row r="25562" ht="15" customHeight="1"/>
    <row r="25563" ht="15" customHeight="1"/>
    <row r="25564" ht="15" customHeight="1"/>
    <row r="25565" ht="15" customHeight="1"/>
    <row r="25566" ht="15" customHeight="1"/>
    <row r="25567" ht="15" customHeight="1"/>
    <row r="25568" ht="15" customHeight="1"/>
    <row r="25569" ht="15" customHeight="1"/>
    <row r="25570" ht="15" customHeight="1"/>
    <row r="25571" ht="15" customHeight="1"/>
    <row r="25572" ht="15" customHeight="1"/>
    <row r="25573" ht="15" customHeight="1"/>
    <row r="25574" ht="15" customHeight="1"/>
    <row r="25575" ht="15" customHeight="1"/>
    <row r="25576" ht="15" customHeight="1"/>
    <row r="25577" ht="15" customHeight="1"/>
    <row r="25578" ht="15" customHeight="1"/>
    <row r="25579" ht="15" customHeight="1"/>
    <row r="25580" ht="15" customHeight="1"/>
    <row r="25581" ht="15" customHeight="1"/>
    <row r="25582" ht="15" customHeight="1"/>
    <row r="25583" ht="15" customHeight="1"/>
    <row r="25584" ht="15" customHeight="1"/>
    <row r="25585" ht="15" customHeight="1"/>
    <row r="25586" ht="15" customHeight="1"/>
    <row r="25587" ht="15" customHeight="1"/>
    <row r="25588" ht="15" customHeight="1"/>
    <row r="25589" ht="15" customHeight="1"/>
    <row r="25590" ht="15" customHeight="1"/>
    <row r="25591" ht="15" customHeight="1"/>
    <row r="25592" ht="15" customHeight="1"/>
    <row r="25593" ht="15" customHeight="1"/>
    <row r="25594" ht="15" customHeight="1"/>
    <row r="25595" ht="15" customHeight="1"/>
    <row r="25596" ht="15" customHeight="1"/>
    <row r="25597" ht="15" customHeight="1"/>
    <row r="25598" ht="15" customHeight="1"/>
    <row r="25599" ht="15" customHeight="1"/>
    <row r="25600" ht="15" customHeight="1"/>
    <row r="25601" ht="15" customHeight="1"/>
    <row r="25602" ht="15" customHeight="1"/>
    <row r="25603" ht="15" customHeight="1"/>
    <row r="25604" ht="15" customHeight="1"/>
    <row r="25605" ht="15" customHeight="1"/>
    <row r="25606" ht="15" customHeight="1"/>
    <row r="25607" ht="15" customHeight="1"/>
    <row r="25608" ht="15" customHeight="1"/>
    <row r="25609" ht="15" customHeight="1"/>
    <row r="25610" ht="15" customHeight="1"/>
    <row r="25611" ht="15" customHeight="1"/>
    <row r="25612" ht="15" customHeight="1"/>
    <row r="25613" ht="15" customHeight="1"/>
    <row r="25614" ht="15" customHeight="1"/>
    <row r="25615" ht="15" customHeight="1"/>
    <row r="25616" ht="15" customHeight="1"/>
    <row r="25617" ht="15" customHeight="1"/>
    <row r="25618" ht="15" customHeight="1"/>
    <row r="25619" ht="15" customHeight="1"/>
    <row r="25620" ht="15" customHeight="1"/>
    <row r="25621" ht="15" customHeight="1"/>
    <row r="25622" ht="15" customHeight="1"/>
    <row r="25623" ht="15" customHeight="1"/>
    <row r="25624" ht="15" customHeight="1"/>
    <row r="25625" ht="15" customHeight="1"/>
    <row r="25626" ht="15" customHeight="1"/>
    <row r="25627" ht="15" customHeight="1"/>
    <row r="25628" ht="15" customHeight="1"/>
    <row r="25629" ht="15" customHeight="1"/>
    <row r="25630" ht="15" customHeight="1"/>
    <row r="25631" ht="15" customHeight="1"/>
    <row r="25632" ht="15" customHeight="1"/>
    <row r="25633" ht="15" customHeight="1"/>
    <row r="25634" ht="15" customHeight="1"/>
    <row r="25635" ht="15" customHeight="1"/>
    <row r="25636" ht="15" customHeight="1"/>
    <row r="25637" ht="15" customHeight="1"/>
    <row r="25638" ht="15" customHeight="1"/>
    <row r="25639" ht="15" customHeight="1"/>
    <row r="25640" ht="15" customHeight="1"/>
    <row r="25641" ht="15" customHeight="1"/>
    <row r="25642" ht="15" customHeight="1"/>
    <row r="25643" ht="15" customHeight="1"/>
    <row r="25644" ht="15" customHeight="1"/>
    <row r="25645" ht="15" customHeight="1"/>
    <row r="25646" ht="15" customHeight="1"/>
    <row r="25647" ht="15" customHeight="1"/>
    <row r="25648" ht="15" customHeight="1"/>
    <row r="25649" ht="15" customHeight="1"/>
    <row r="25650" ht="15" customHeight="1"/>
    <row r="25651" ht="15" customHeight="1"/>
    <row r="25652" ht="15" customHeight="1"/>
    <row r="25653" ht="15" customHeight="1"/>
    <row r="25654" ht="15" customHeight="1"/>
    <row r="25655" ht="15" customHeight="1"/>
    <row r="25656" ht="15" customHeight="1"/>
    <row r="25657" ht="15" customHeight="1"/>
    <row r="25658" ht="15" customHeight="1"/>
    <row r="25659" ht="15" customHeight="1"/>
    <row r="25660" ht="15" customHeight="1"/>
    <row r="25661" ht="15" customHeight="1"/>
    <row r="25662" ht="15" customHeight="1"/>
    <row r="25663" ht="15" customHeight="1"/>
    <row r="25664" ht="15" customHeight="1"/>
    <row r="25665" ht="15" customHeight="1"/>
    <row r="25666" ht="15" customHeight="1"/>
    <row r="25667" ht="15" customHeight="1"/>
    <row r="25668" ht="15" customHeight="1"/>
    <row r="25669" ht="15" customHeight="1"/>
    <row r="25670" ht="15" customHeight="1"/>
    <row r="25671" ht="15" customHeight="1"/>
    <row r="25672" ht="15" customHeight="1"/>
    <row r="25673" ht="15" customHeight="1"/>
    <row r="25674" ht="15" customHeight="1"/>
    <row r="25675" ht="15" customHeight="1"/>
    <row r="25676" ht="15" customHeight="1"/>
    <row r="25677" ht="15" customHeight="1"/>
    <row r="25678" ht="15" customHeight="1"/>
    <row r="25679" ht="15" customHeight="1"/>
    <row r="25680" ht="15" customHeight="1"/>
    <row r="25681" ht="15" customHeight="1"/>
    <row r="25682" ht="15" customHeight="1"/>
    <row r="25683" ht="15" customHeight="1"/>
    <row r="25684" ht="15" customHeight="1"/>
    <row r="25685" ht="15" customHeight="1"/>
    <row r="25686" ht="15" customHeight="1"/>
    <row r="25687" ht="15" customHeight="1"/>
    <row r="25688" ht="15" customHeight="1"/>
    <row r="25689" ht="15" customHeight="1"/>
    <row r="25690" ht="15" customHeight="1"/>
    <row r="25691" ht="15" customHeight="1"/>
    <row r="25692" ht="15" customHeight="1"/>
    <row r="25693" ht="15" customHeight="1"/>
    <row r="25694" ht="15" customHeight="1"/>
    <row r="25695" ht="15" customHeight="1"/>
    <row r="25696" ht="15" customHeight="1"/>
    <row r="25697" ht="15" customHeight="1"/>
    <row r="25698" ht="15" customHeight="1"/>
    <row r="25699" ht="15" customHeight="1"/>
    <row r="25700" ht="15" customHeight="1"/>
    <row r="25701" ht="15" customHeight="1"/>
    <row r="25702" ht="15" customHeight="1"/>
    <row r="25703" ht="15" customHeight="1"/>
    <row r="25704" ht="15" customHeight="1"/>
    <row r="25705" ht="15" customHeight="1"/>
    <row r="25706" ht="15" customHeight="1"/>
    <row r="25707" ht="15" customHeight="1"/>
    <row r="25708" ht="15" customHeight="1"/>
    <row r="25709" ht="15" customHeight="1"/>
    <row r="25710" ht="15" customHeight="1"/>
    <row r="25711" ht="15" customHeight="1"/>
    <row r="25712" ht="15" customHeight="1"/>
    <row r="25713" ht="15" customHeight="1"/>
    <row r="25714" ht="15" customHeight="1"/>
    <row r="25715" ht="15" customHeight="1"/>
    <row r="25716" ht="15" customHeight="1"/>
    <row r="25717" ht="15" customHeight="1"/>
    <row r="25718" ht="15" customHeight="1"/>
    <row r="25719" ht="15" customHeight="1"/>
    <row r="25720" ht="15" customHeight="1"/>
    <row r="25721" ht="15" customHeight="1"/>
    <row r="25722" ht="15" customHeight="1"/>
    <row r="25723" ht="15" customHeight="1"/>
    <row r="25724" ht="15" customHeight="1"/>
    <row r="25725" ht="15" customHeight="1"/>
    <row r="25726" ht="15" customHeight="1"/>
    <row r="25727" ht="15" customHeight="1"/>
    <row r="25728" ht="15" customHeight="1"/>
    <row r="25729" ht="15" customHeight="1"/>
    <row r="25730" ht="15" customHeight="1"/>
    <row r="25731" ht="15" customHeight="1"/>
    <row r="25732" ht="15" customHeight="1"/>
    <row r="25733" ht="15" customHeight="1"/>
    <row r="25734" ht="15" customHeight="1"/>
    <row r="25735" ht="15" customHeight="1"/>
    <row r="25736" ht="15" customHeight="1"/>
    <row r="25737" ht="15" customHeight="1"/>
    <row r="25738" ht="15" customHeight="1"/>
    <row r="25739" ht="15" customHeight="1"/>
    <row r="25740" ht="15" customHeight="1"/>
    <row r="25741" ht="15" customHeight="1"/>
    <row r="25742" ht="15" customHeight="1"/>
    <row r="25743" ht="15" customHeight="1"/>
    <row r="25744" ht="15" customHeight="1"/>
    <row r="25745" ht="15" customHeight="1"/>
    <row r="25746" ht="15" customHeight="1"/>
    <row r="25747" ht="15" customHeight="1"/>
    <row r="25748" ht="15" customHeight="1"/>
    <row r="25749" ht="15" customHeight="1"/>
    <row r="25750" ht="15" customHeight="1"/>
    <row r="25751" ht="15" customHeight="1"/>
    <row r="25752" ht="15" customHeight="1"/>
    <row r="25753" ht="15" customHeight="1"/>
    <row r="25754" ht="15" customHeight="1"/>
    <row r="25755" ht="15" customHeight="1"/>
    <row r="25756" ht="15" customHeight="1"/>
    <row r="25757" ht="15" customHeight="1"/>
    <row r="25758" ht="15" customHeight="1"/>
    <row r="25759" ht="15" customHeight="1"/>
    <row r="25760" ht="15" customHeight="1"/>
    <row r="25761" ht="15" customHeight="1"/>
    <row r="25762" ht="15" customHeight="1"/>
    <row r="25763" ht="15" customHeight="1"/>
    <row r="25764" ht="15" customHeight="1"/>
    <row r="25765" ht="15" customHeight="1"/>
    <row r="25766" ht="15" customHeight="1"/>
    <row r="25767" ht="15" customHeight="1"/>
    <row r="25768" ht="15" customHeight="1"/>
    <row r="25769" ht="15" customHeight="1"/>
    <row r="25770" ht="15" customHeight="1"/>
    <row r="25771" ht="15" customHeight="1"/>
    <row r="25772" ht="15" customHeight="1"/>
    <row r="25773" ht="15" customHeight="1"/>
    <row r="25774" ht="15" customHeight="1"/>
    <row r="25775" ht="15" customHeight="1"/>
    <row r="25776" ht="15" customHeight="1"/>
    <row r="25777" ht="15" customHeight="1"/>
    <row r="25778" ht="15" customHeight="1"/>
    <row r="25779" ht="15" customHeight="1"/>
    <row r="25780" ht="15" customHeight="1"/>
    <row r="25781" ht="15" customHeight="1"/>
    <row r="25782" ht="15" customHeight="1"/>
    <row r="25783" ht="15" customHeight="1"/>
    <row r="25784" ht="15" customHeight="1"/>
    <row r="25785" ht="15" customHeight="1"/>
    <row r="25786" ht="15" customHeight="1"/>
    <row r="25787" ht="15" customHeight="1"/>
    <row r="25788" ht="15" customHeight="1"/>
    <row r="25789" ht="15" customHeight="1"/>
    <row r="25790" ht="15" customHeight="1"/>
    <row r="25791" ht="15" customHeight="1"/>
    <row r="25792" ht="15" customHeight="1"/>
    <row r="25793" ht="15" customHeight="1"/>
    <row r="25794" ht="15" customHeight="1"/>
    <row r="25795" ht="15" customHeight="1"/>
    <row r="25796" ht="15" customHeight="1"/>
    <row r="25797" ht="15" customHeight="1"/>
    <row r="25798" ht="15" customHeight="1"/>
    <row r="25799" ht="15" customHeight="1"/>
    <row r="25800" ht="15" customHeight="1"/>
    <row r="25801" ht="15" customHeight="1"/>
    <row r="25802" ht="15" customHeight="1"/>
    <row r="25803" ht="15" customHeight="1"/>
    <row r="25804" ht="15" customHeight="1"/>
    <row r="25805" ht="15" customHeight="1"/>
    <row r="25806" ht="15" customHeight="1"/>
    <row r="25807" ht="15" customHeight="1"/>
    <row r="25808" ht="15" customHeight="1"/>
    <row r="25809" ht="15" customHeight="1"/>
    <row r="25810" ht="15" customHeight="1"/>
    <row r="25811" ht="15" customHeight="1"/>
    <row r="25812" ht="15" customHeight="1"/>
    <row r="25813" ht="15" customHeight="1"/>
    <row r="25814" ht="15" customHeight="1"/>
    <row r="25815" ht="15" customHeight="1"/>
    <row r="25816" ht="15" customHeight="1"/>
    <row r="25817" ht="15" customHeight="1"/>
    <row r="25818" ht="15" customHeight="1"/>
    <row r="25819" ht="15" customHeight="1"/>
    <row r="25820" ht="15" customHeight="1"/>
    <row r="25821" ht="15" customHeight="1"/>
    <row r="25822" ht="15" customHeight="1"/>
    <row r="25823" ht="15" customHeight="1"/>
    <row r="25824" ht="15" customHeight="1"/>
    <row r="25825" ht="15" customHeight="1"/>
    <row r="25826" ht="15" customHeight="1"/>
    <row r="25827" ht="15" customHeight="1"/>
    <row r="25828" ht="15" customHeight="1"/>
    <row r="25829" ht="15" customHeight="1"/>
    <row r="25830" ht="15" customHeight="1"/>
    <row r="25831" ht="15" customHeight="1"/>
    <row r="25832" ht="15" customHeight="1"/>
    <row r="25833" ht="15" customHeight="1"/>
    <row r="25834" ht="15" customHeight="1"/>
    <row r="25835" ht="15" customHeight="1"/>
    <row r="25836" ht="15" customHeight="1"/>
    <row r="25837" ht="15" customHeight="1"/>
    <row r="25838" ht="15" customHeight="1"/>
    <row r="25839" ht="15" customHeight="1"/>
    <row r="25840" ht="15" customHeight="1"/>
    <row r="25841" ht="15" customHeight="1"/>
    <row r="25842" ht="15" customHeight="1"/>
    <row r="25843" ht="15" customHeight="1"/>
    <row r="25844" ht="15" customHeight="1"/>
    <row r="25845" ht="15" customHeight="1"/>
    <row r="25846" ht="15" customHeight="1"/>
    <row r="25847" ht="15" customHeight="1"/>
    <row r="25848" ht="15" customHeight="1"/>
    <row r="25849" ht="15" customHeight="1"/>
    <row r="25850" ht="15" customHeight="1"/>
    <row r="25851" ht="15" customHeight="1"/>
    <row r="25852" ht="15" customHeight="1"/>
    <row r="25853" ht="15" customHeight="1"/>
    <row r="25854" ht="15" customHeight="1"/>
    <row r="25855" ht="15" customHeight="1"/>
    <row r="25856" ht="15" customHeight="1"/>
    <row r="25857" ht="15" customHeight="1"/>
    <row r="25858" ht="15" customHeight="1"/>
    <row r="25859" ht="15" customHeight="1"/>
    <row r="25860" ht="15" customHeight="1"/>
    <row r="25861" ht="15" customHeight="1"/>
    <row r="25862" ht="15" customHeight="1"/>
    <row r="25863" ht="15" customHeight="1"/>
    <row r="25864" ht="15" customHeight="1"/>
    <row r="25865" ht="15" customHeight="1"/>
    <row r="25866" ht="15" customHeight="1"/>
    <row r="25867" ht="15" customHeight="1"/>
    <row r="25868" ht="15" customHeight="1"/>
    <row r="25869" ht="15" customHeight="1"/>
    <row r="25870" ht="15" customHeight="1"/>
    <row r="25871" ht="15" customHeight="1"/>
    <row r="25872" ht="15" customHeight="1"/>
    <row r="25873" ht="15" customHeight="1"/>
    <row r="25874" ht="15" customHeight="1"/>
    <row r="25875" ht="15" customHeight="1"/>
    <row r="25876" ht="15" customHeight="1"/>
    <row r="25877" ht="15" customHeight="1"/>
    <row r="25878" ht="15" customHeight="1"/>
    <row r="25879" ht="15" customHeight="1"/>
    <row r="25880" ht="15" customHeight="1"/>
    <row r="25881" ht="15" customHeight="1"/>
    <row r="25882" ht="15" customHeight="1"/>
    <row r="25883" ht="15" customHeight="1"/>
    <row r="25884" ht="15" customHeight="1"/>
    <row r="25885" ht="15" customHeight="1"/>
    <row r="25886" ht="15" customHeight="1"/>
    <row r="25887" ht="15" customHeight="1"/>
    <row r="25888" ht="15" customHeight="1"/>
    <row r="25889" ht="15" customHeight="1"/>
    <row r="25890" ht="15" customHeight="1"/>
    <row r="25891" ht="15" customHeight="1"/>
    <row r="25892" ht="15" customHeight="1"/>
    <row r="25893" ht="15" customHeight="1"/>
    <row r="25894" ht="15" customHeight="1"/>
    <row r="25895" ht="15" customHeight="1"/>
    <row r="25896" ht="15" customHeight="1"/>
    <row r="25897" ht="15" customHeight="1"/>
    <row r="25898" ht="15" customHeight="1"/>
    <row r="25899" ht="15" customHeight="1"/>
    <row r="25900" ht="15" customHeight="1"/>
    <row r="25901" ht="15" customHeight="1"/>
    <row r="25902" ht="15" customHeight="1"/>
    <row r="25903" ht="15" customHeight="1"/>
    <row r="25904" ht="15" customHeight="1"/>
    <row r="25905" ht="15" customHeight="1"/>
    <row r="25906" ht="15" customHeight="1"/>
    <row r="25907" ht="15" customHeight="1"/>
    <row r="25908" ht="15" customHeight="1"/>
    <row r="25909" ht="15" customHeight="1"/>
    <row r="25910" ht="15" customHeight="1"/>
    <row r="25911" ht="15" customHeight="1"/>
    <row r="25912" ht="15" customHeight="1"/>
    <row r="25913" ht="15" customHeight="1"/>
    <row r="25914" ht="15" customHeight="1"/>
    <row r="25915" ht="15" customHeight="1"/>
    <row r="25916" ht="15" customHeight="1"/>
    <row r="25917" ht="15" customHeight="1"/>
    <row r="25918" ht="15" customHeight="1"/>
    <row r="25919" ht="15" customHeight="1"/>
    <row r="25920" ht="15" customHeight="1"/>
    <row r="25921" ht="15" customHeight="1"/>
    <row r="25922" ht="15" customHeight="1"/>
    <row r="25923" ht="15" customHeight="1"/>
    <row r="25924" ht="15" customHeight="1"/>
    <row r="25925" ht="15" customHeight="1"/>
    <row r="25926" ht="15" customHeight="1"/>
    <row r="25927" ht="15" customHeight="1"/>
    <row r="25928" ht="15" customHeight="1"/>
    <row r="25929" ht="15" customHeight="1"/>
    <row r="25930" ht="15" customHeight="1"/>
    <row r="25931" ht="15" customHeight="1"/>
    <row r="25932" ht="15" customHeight="1"/>
    <row r="25933" ht="15" customHeight="1"/>
    <row r="25934" ht="15" customHeight="1"/>
    <row r="25935" ht="15" customHeight="1"/>
    <row r="25936" ht="15" customHeight="1"/>
    <row r="25937" ht="15" customHeight="1"/>
    <row r="25938" ht="15" customHeight="1"/>
    <row r="25939" ht="15" customHeight="1"/>
    <row r="25940" ht="15" customHeight="1"/>
    <row r="25941" ht="15" customHeight="1"/>
    <row r="25942" ht="15" customHeight="1"/>
    <row r="25943" ht="15" customHeight="1"/>
    <row r="25944" ht="15" customHeight="1"/>
    <row r="25945" ht="15" customHeight="1"/>
    <row r="25946" ht="15" customHeight="1"/>
    <row r="25947" ht="15" customHeight="1"/>
    <row r="25948" ht="15" customHeight="1"/>
    <row r="25949" ht="15" customHeight="1"/>
    <row r="25950" ht="15" customHeight="1"/>
    <row r="25951" ht="15" customHeight="1"/>
    <row r="25952" ht="15" customHeight="1"/>
    <row r="25953" ht="15" customHeight="1"/>
    <row r="25954" ht="15" customHeight="1"/>
    <row r="25955" ht="15" customHeight="1"/>
    <row r="25956" ht="15" customHeight="1"/>
    <row r="25957" ht="15" customHeight="1"/>
    <row r="25958" ht="15" customHeight="1"/>
    <row r="25959" ht="15" customHeight="1"/>
    <row r="25960" ht="15" customHeight="1"/>
    <row r="25961" ht="15" customHeight="1"/>
    <row r="25962" ht="15" customHeight="1"/>
    <row r="25963" ht="15" customHeight="1"/>
    <row r="25964" ht="15" customHeight="1"/>
    <row r="25965" ht="15" customHeight="1"/>
    <row r="25966" ht="15" customHeight="1"/>
    <row r="25967" ht="15" customHeight="1"/>
    <row r="25968" ht="15" customHeight="1"/>
    <row r="25969" ht="15" customHeight="1"/>
    <row r="25970" ht="15" customHeight="1"/>
    <row r="25971" ht="15" customHeight="1"/>
    <row r="25972" ht="15" customHeight="1"/>
    <row r="25973" ht="15" customHeight="1"/>
    <row r="25974" ht="15" customHeight="1"/>
    <row r="25975" ht="15" customHeight="1"/>
    <row r="25976" ht="15" customHeight="1"/>
    <row r="25977" ht="15" customHeight="1"/>
    <row r="25978" ht="15" customHeight="1"/>
    <row r="25979" ht="15" customHeight="1"/>
    <row r="25980" ht="15" customHeight="1"/>
    <row r="25981" ht="15" customHeight="1"/>
    <row r="25982" ht="15" customHeight="1"/>
    <row r="25983" ht="15" customHeight="1"/>
    <row r="25984" ht="15" customHeight="1"/>
    <row r="25985" ht="15" customHeight="1"/>
    <row r="25986" ht="15" customHeight="1"/>
    <row r="25987" ht="15" customHeight="1"/>
    <row r="25988" ht="15" customHeight="1"/>
    <row r="25989" ht="15" customHeight="1"/>
    <row r="25990" ht="15" customHeight="1"/>
    <row r="25991" ht="15" customHeight="1"/>
    <row r="25992" ht="15" customHeight="1"/>
    <row r="25993" ht="15" customHeight="1"/>
    <row r="25994" ht="15" customHeight="1"/>
    <row r="25995" ht="15" customHeight="1"/>
    <row r="25996" ht="15" customHeight="1"/>
    <row r="25997" ht="15" customHeight="1"/>
    <row r="25998" ht="15" customHeight="1"/>
    <row r="25999" ht="15" customHeight="1"/>
    <row r="26000" ht="15" customHeight="1"/>
    <row r="26001" ht="15" customHeight="1"/>
    <row r="26002" ht="15" customHeight="1"/>
    <row r="26003" ht="15" customHeight="1"/>
    <row r="26004" ht="15" customHeight="1"/>
    <row r="26005" ht="15" customHeight="1"/>
    <row r="26006" ht="15" customHeight="1"/>
    <row r="26007" ht="15" customHeight="1"/>
    <row r="26008" ht="15" customHeight="1"/>
    <row r="26009" ht="15" customHeight="1"/>
    <row r="26010" ht="15" customHeight="1"/>
    <row r="26011" ht="15" customHeight="1"/>
    <row r="26012" ht="15" customHeight="1"/>
    <row r="26013" ht="15" customHeight="1"/>
    <row r="26014" ht="15" customHeight="1"/>
    <row r="26015" ht="15" customHeight="1"/>
    <row r="26016" ht="15" customHeight="1"/>
    <row r="26017" ht="15" customHeight="1"/>
    <row r="26018" ht="15" customHeight="1"/>
    <row r="26019" ht="15" customHeight="1"/>
    <row r="26020" ht="15" customHeight="1"/>
    <row r="26021" ht="15" customHeight="1"/>
    <row r="26022" ht="15" customHeight="1"/>
    <row r="26023" ht="15" customHeight="1"/>
    <row r="26024" ht="15" customHeight="1"/>
    <row r="26025" ht="15" customHeight="1"/>
    <row r="26026" ht="15" customHeight="1"/>
    <row r="26027" ht="15" customHeight="1"/>
    <row r="26028" ht="15" customHeight="1"/>
    <row r="26029" ht="15" customHeight="1"/>
    <row r="26030" ht="15" customHeight="1"/>
    <row r="26031" ht="15" customHeight="1"/>
    <row r="26032" ht="15" customHeight="1"/>
    <row r="26033" ht="15" customHeight="1"/>
    <row r="26034" ht="15" customHeight="1"/>
    <row r="26035" ht="15" customHeight="1"/>
    <row r="26036" ht="15" customHeight="1"/>
    <row r="26037" ht="15" customHeight="1"/>
    <row r="26038" ht="15" customHeight="1"/>
    <row r="26039" ht="15" customHeight="1"/>
    <row r="26040" ht="15" customHeight="1"/>
    <row r="26041" ht="15" customHeight="1"/>
    <row r="26042" ht="15" customHeight="1"/>
    <row r="26043" ht="15" customHeight="1"/>
    <row r="26044" ht="15" customHeight="1"/>
    <row r="26045" ht="15" customHeight="1"/>
    <row r="26046" ht="15" customHeight="1"/>
    <row r="26047" ht="15" customHeight="1"/>
    <row r="26048" ht="15" customHeight="1"/>
    <row r="26049" ht="15" customHeight="1"/>
    <row r="26050" ht="15" customHeight="1"/>
    <row r="26051" ht="15" customHeight="1"/>
    <row r="26052" ht="15" customHeight="1"/>
    <row r="26053" ht="15" customHeight="1"/>
    <row r="26054" ht="15" customHeight="1"/>
    <row r="26055" ht="15" customHeight="1"/>
    <row r="26056" ht="15" customHeight="1"/>
    <row r="26057" ht="15" customHeight="1"/>
    <row r="26058" ht="15" customHeight="1"/>
    <row r="26059" ht="15" customHeight="1"/>
    <row r="26060" ht="15" customHeight="1"/>
    <row r="26061" ht="15" customHeight="1"/>
    <row r="26062" ht="15" customHeight="1"/>
    <row r="26063" ht="15" customHeight="1"/>
    <row r="26064" ht="15" customHeight="1"/>
    <row r="26065" ht="15" customHeight="1"/>
    <row r="26066" ht="15" customHeight="1"/>
    <row r="26067" ht="15" customHeight="1"/>
    <row r="26068" ht="15" customHeight="1"/>
    <row r="26069" ht="15" customHeight="1"/>
    <row r="26070" ht="15" customHeight="1"/>
    <row r="26071" ht="15" customHeight="1"/>
    <row r="26072" ht="15" customHeight="1"/>
    <row r="26073" ht="15" customHeight="1"/>
    <row r="26074" ht="15" customHeight="1"/>
    <row r="26075" ht="15" customHeight="1"/>
    <row r="26076" ht="15" customHeight="1"/>
    <row r="26077" ht="15" customHeight="1"/>
    <row r="26078" ht="15" customHeight="1"/>
    <row r="26079" ht="15" customHeight="1"/>
    <row r="26080" ht="15" customHeight="1"/>
    <row r="26081" ht="15" customHeight="1"/>
    <row r="26082" ht="15" customHeight="1"/>
    <row r="26083" ht="15" customHeight="1"/>
    <row r="26084" ht="15" customHeight="1"/>
    <row r="26085" ht="15" customHeight="1"/>
    <row r="26086" ht="15" customHeight="1"/>
    <row r="26087" ht="15" customHeight="1"/>
    <row r="26088" ht="15" customHeight="1"/>
    <row r="26089" ht="15" customHeight="1"/>
    <row r="26090" ht="15" customHeight="1"/>
    <row r="26091" ht="15" customHeight="1"/>
    <row r="26092" ht="15" customHeight="1"/>
    <row r="26093" ht="15" customHeight="1"/>
    <row r="26094" ht="15" customHeight="1"/>
    <row r="26095" ht="15" customHeight="1"/>
    <row r="26096" ht="15" customHeight="1"/>
    <row r="26097" ht="15" customHeight="1"/>
    <row r="26098" ht="15" customHeight="1"/>
    <row r="26099" ht="15" customHeight="1"/>
    <row r="26100" ht="15" customHeight="1"/>
    <row r="26101" ht="15" customHeight="1"/>
    <row r="26102" ht="15" customHeight="1"/>
    <row r="26103" ht="15" customHeight="1"/>
    <row r="26104" ht="15" customHeight="1"/>
    <row r="26105" ht="15" customHeight="1"/>
    <row r="26106" ht="15" customHeight="1"/>
    <row r="26107" ht="15" customHeight="1"/>
    <row r="26108" ht="15" customHeight="1"/>
    <row r="26109" ht="15" customHeight="1"/>
    <row r="26110" ht="15" customHeight="1"/>
    <row r="26111" ht="15" customHeight="1"/>
    <row r="26112" ht="15" customHeight="1"/>
    <row r="26113" ht="15" customHeight="1"/>
    <row r="26114" ht="15" customHeight="1"/>
    <row r="26115" ht="15" customHeight="1"/>
    <row r="26116" ht="15" customHeight="1"/>
    <row r="26117" ht="15" customHeight="1"/>
    <row r="26118" ht="15" customHeight="1"/>
    <row r="26119" ht="15" customHeight="1"/>
    <row r="26120" ht="15" customHeight="1"/>
    <row r="26121" ht="15" customHeight="1"/>
    <row r="26122" ht="15" customHeight="1"/>
    <row r="26123" ht="15" customHeight="1"/>
    <row r="26124" ht="15" customHeight="1"/>
    <row r="26125" ht="15" customHeight="1"/>
    <row r="26126" ht="15" customHeight="1"/>
    <row r="26127" ht="15" customHeight="1"/>
    <row r="26128" ht="15" customHeight="1"/>
    <row r="26129" ht="15" customHeight="1"/>
    <row r="26130" ht="15" customHeight="1"/>
    <row r="26131" ht="15" customHeight="1"/>
    <row r="26132" ht="15" customHeight="1"/>
    <row r="26133" ht="15" customHeight="1"/>
    <row r="26134" ht="15" customHeight="1"/>
    <row r="26135" ht="15" customHeight="1"/>
    <row r="26136" ht="15" customHeight="1"/>
    <row r="26137" ht="15" customHeight="1"/>
    <row r="26138" ht="15" customHeight="1"/>
    <row r="26139" ht="15" customHeight="1"/>
    <row r="26140" ht="15" customHeight="1"/>
    <row r="26141" ht="15" customHeight="1"/>
    <row r="26142" ht="15" customHeight="1"/>
    <row r="26143" ht="15" customHeight="1"/>
    <row r="26144" ht="15" customHeight="1"/>
    <row r="26145" ht="15" customHeight="1"/>
    <row r="26146" ht="15" customHeight="1"/>
    <row r="26147" ht="15" customHeight="1"/>
    <row r="26148" ht="15" customHeight="1"/>
    <row r="26149" ht="15" customHeight="1"/>
    <row r="26150" ht="15" customHeight="1"/>
    <row r="26151" ht="15" customHeight="1"/>
    <row r="26152" ht="15" customHeight="1"/>
    <row r="26153" ht="15" customHeight="1"/>
    <row r="26154" ht="15" customHeight="1"/>
    <row r="26155" ht="15" customHeight="1"/>
    <row r="26156" ht="15" customHeight="1"/>
    <row r="26157" ht="15" customHeight="1"/>
    <row r="26158" ht="15" customHeight="1"/>
    <row r="26159" ht="15" customHeight="1"/>
    <row r="26160" ht="15" customHeight="1"/>
    <row r="26161" ht="15" customHeight="1"/>
    <row r="26162" ht="15" customHeight="1"/>
    <row r="26163" ht="15" customHeight="1"/>
    <row r="26164" ht="15" customHeight="1"/>
    <row r="26165" ht="15" customHeight="1"/>
    <row r="26166" ht="15" customHeight="1"/>
    <row r="26167" ht="15" customHeight="1"/>
    <row r="26168" ht="15" customHeight="1"/>
    <row r="26169" ht="15" customHeight="1"/>
    <row r="26170" ht="15" customHeight="1"/>
    <row r="26171" ht="15" customHeight="1"/>
    <row r="26172" ht="15" customHeight="1"/>
    <row r="26173" ht="15" customHeight="1"/>
    <row r="26174" ht="15" customHeight="1"/>
    <row r="26175" ht="15" customHeight="1"/>
    <row r="26176" ht="15" customHeight="1"/>
    <row r="26177" ht="15" customHeight="1"/>
    <row r="26178" ht="15" customHeight="1"/>
    <row r="26179" ht="15" customHeight="1"/>
    <row r="26180" ht="15" customHeight="1"/>
    <row r="26181" ht="15" customHeight="1"/>
    <row r="26182" ht="15" customHeight="1"/>
    <row r="26183" ht="15" customHeight="1"/>
    <row r="26184" ht="15" customHeight="1"/>
    <row r="26185" ht="15" customHeight="1"/>
    <row r="26186" ht="15" customHeight="1"/>
    <row r="26187" ht="15" customHeight="1"/>
    <row r="26188" ht="15" customHeight="1"/>
    <row r="26189" ht="15" customHeight="1"/>
    <row r="26190" ht="15" customHeight="1"/>
    <row r="26191" ht="15" customHeight="1"/>
    <row r="26192" ht="15" customHeight="1"/>
    <row r="26193" ht="15" customHeight="1"/>
    <row r="26194" ht="15" customHeight="1"/>
    <row r="26195" ht="15" customHeight="1"/>
    <row r="26196" ht="15" customHeight="1"/>
    <row r="26197" ht="15" customHeight="1"/>
    <row r="26198" ht="15" customHeight="1"/>
    <row r="26199" ht="15" customHeight="1"/>
    <row r="26200" ht="15" customHeight="1"/>
    <row r="26201" ht="15" customHeight="1"/>
    <row r="26202" ht="15" customHeight="1"/>
    <row r="26203" ht="15" customHeight="1"/>
    <row r="26204" ht="15" customHeight="1"/>
    <row r="26205" ht="15" customHeight="1"/>
    <row r="26206" ht="15" customHeight="1"/>
    <row r="26207" ht="15" customHeight="1"/>
    <row r="26208" ht="15" customHeight="1"/>
    <row r="26209" ht="15" customHeight="1"/>
    <row r="26210" ht="15" customHeight="1"/>
    <row r="26211" ht="15" customHeight="1"/>
    <row r="26212" ht="15" customHeight="1"/>
    <row r="26213" ht="15" customHeight="1"/>
    <row r="26214" ht="15" customHeight="1"/>
    <row r="26215" ht="15" customHeight="1"/>
    <row r="26216" ht="15" customHeight="1"/>
    <row r="26217" ht="15" customHeight="1"/>
    <row r="26218" ht="15" customHeight="1"/>
    <row r="26219" ht="15" customHeight="1"/>
    <row r="26220" ht="15" customHeight="1"/>
    <row r="26221" ht="15" customHeight="1"/>
    <row r="26222" ht="15" customHeight="1"/>
    <row r="26223" ht="15" customHeight="1"/>
    <row r="26224" ht="15" customHeight="1"/>
    <row r="26225" ht="15" customHeight="1"/>
    <row r="26226" ht="15" customHeight="1"/>
    <row r="26227" ht="15" customHeight="1"/>
    <row r="26228" ht="15" customHeight="1"/>
    <row r="26229" ht="15" customHeight="1"/>
    <row r="26230" ht="15" customHeight="1"/>
    <row r="26231" ht="15" customHeight="1"/>
    <row r="26232" ht="15" customHeight="1"/>
    <row r="26233" ht="15" customHeight="1"/>
    <row r="26234" ht="15" customHeight="1"/>
    <row r="26235" ht="15" customHeight="1"/>
    <row r="26236" ht="15" customHeight="1"/>
    <row r="26237" ht="15" customHeight="1"/>
    <row r="26238" ht="15" customHeight="1"/>
    <row r="26239" ht="15" customHeight="1"/>
    <row r="26240" ht="15" customHeight="1"/>
    <row r="26241" ht="15" customHeight="1"/>
    <row r="26242" ht="15" customHeight="1"/>
    <row r="26243" ht="15" customHeight="1"/>
    <row r="26244" ht="15" customHeight="1"/>
    <row r="26245" ht="15" customHeight="1"/>
    <row r="26246" ht="15" customHeight="1"/>
    <row r="26247" ht="15" customHeight="1"/>
    <row r="26248" ht="15" customHeight="1"/>
    <row r="26249" ht="15" customHeight="1"/>
    <row r="26250" ht="15" customHeight="1"/>
    <row r="26251" ht="15" customHeight="1"/>
    <row r="26252" ht="15" customHeight="1"/>
    <row r="26253" ht="15" customHeight="1"/>
    <row r="26254" ht="15" customHeight="1"/>
    <row r="26255" ht="15" customHeight="1"/>
    <row r="26256" ht="15" customHeight="1"/>
    <row r="26257" ht="15" customHeight="1"/>
    <row r="26258" ht="15" customHeight="1"/>
    <row r="26259" ht="15" customHeight="1"/>
    <row r="26260" ht="15" customHeight="1"/>
    <row r="26261" ht="15" customHeight="1"/>
    <row r="26262" ht="15" customHeight="1"/>
    <row r="26263" ht="15" customHeight="1"/>
    <row r="26264" ht="15" customHeight="1"/>
    <row r="26265" ht="15" customHeight="1"/>
    <row r="26266" ht="15" customHeight="1"/>
    <row r="26267" ht="15" customHeight="1"/>
    <row r="26268" ht="15" customHeight="1"/>
    <row r="26269" ht="15" customHeight="1"/>
    <row r="26270" ht="15" customHeight="1"/>
    <row r="26271" ht="15" customHeight="1"/>
    <row r="26272" ht="15" customHeight="1"/>
    <row r="26273" ht="15" customHeight="1"/>
    <row r="26274" ht="15" customHeight="1"/>
    <row r="26275" ht="15" customHeight="1"/>
    <row r="26276" ht="15" customHeight="1"/>
    <row r="26277" ht="15" customHeight="1"/>
    <row r="26278" ht="15" customHeight="1"/>
    <row r="26279" ht="15" customHeight="1"/>
    <row r="26280" ht="15" customHeight="1"/>
    <row r="26281" ht="15" customHeight="1"/>
    <row r="26282" ht="15" customHeight="1"/>
    <row r="26283" ht="15" customHeight="1"/>
    <row r="26284" ht="15" customHeight="1"/>
    <row r="26285" ht="15" customHeight="1"/>
    <row r="26286" ht="15" customHeight="1"/>
    <row r="26287" ht="15" customHeight="1"/>
    <row r="26288" ht="15" customHeight="1"/>
    <row r="26289" ht="15" customHeight="1"/>
    <row r="26290" ht="15" customHeight="1"/>
    <row r="26291" ht="15" customHeight="1"/>
    <row r="26292" ht="15" customHeight="1"/>
    <row r="26293" ht="15" customHeight="1"/>
    <row r="26294" ht="15" customHeight="1"/>
    <row r="26295" ht="15" customHeight="1"/>
    <row r="26296" ht="15" customHeight="1"/>
    <row r="26297" ht="15" customHeight="1"/>
    <row r="26298" ht="15" customHeight="1"/>
    <row r="26299" ht="15" customHeight="1"/>
    <row r="26300" ht="15" customHeight="1"/>
    <row r="26301" ht="15" customHeight="1"/>
    <row r="26302" ht="15" customHeight="1"/>
    <row r="26303" ht="15" customHeight="1"/>
    <row r="26304" ht="15" customHeight="1"/>
    <row r="26305" ht="15" customHeight="1"/>
    <row r="26306" ht="15" customHeight="1"/>
    <row r="26307" ht="15" customHeight="1"/>
    <row r="26308" ht="15" customHeight="1"/>
    <row r="26309" ht="15" customHeight="1"/>
    <row r="26310" ht="15" customHeight="1"/>
    <row r="26311" ht="15" customHeight="1"/>
    <row r="26312" ht="15" customHeight="1"/>
    <row r="26313" ht="15" customHeight="1"/>
    <row r="26314" ht="15" customHeight="1"/>
    <row r="26315" ht="15" customHeight="1"/>
    <row r="26316" ht="15" customHeight="1"/>
    <row r="26317" ht="15" customHeight="1"/>
    <row r="26318" ht="15" customHeight="1"/>
    <row r="26319" ht="15" customHeight="1"/>
    <row r="26320" ht="15" customHeight="1"/>
    <row r="26321" ht="15" customHeight="1"/>
    <row r="26322" ht="15" customHeight="1"/>
    <row r="26323" ht="15" customHeight="1"/>
    <row r="26324" ht="15" customHeight="1"/>
    <row r="26325" ht="15" customHeight="1"/>
    <row r="26326" ht="15" customHeight="1"/>
    <row r="26327" ht="15" customHeight="1"/>
    <row r="26328" ht="15" customHeight="1"/>
    <row r="26329" ht="15" customHeight="1"/>
    <row r="26330" ht="15" customHeight="1"/>
    <row r="26331" ht="15" customHeight="1"/>
    <row r="26332" ht="15" customHeight="1"/>
    <row r="26333" ht="15" customHeight="1"/>
    <row r="26334" ht="15" customHeight="1"/>
    <row r="26335" ht="15" customHeight="1"/>
    <row r="26336" ht="15" customHeight="1"/>
    <row r="26337" ht="15" customHeight="1"/>
    <row r="26338" ht="15" customHeight="1"/>
    <row r="26339" ht="15" customHeight="1"/>
    <row r="26340" ht="15" customHeight="1"/>
    <row r="26341" ht="15" customHeight="1"/>
    <row r="26342" ht="15" customHeight="1"/>
    <row r="26343" ht="15" customHeight="1"/>
    <row r="26344" ht="15" customHeight="1"/>
    <row r="26345" ht="15" customHeight="1"/>
    <row r="26346" ht="15" customHeight="1"/>
    <row r="26347" ht="15" customHeight="1"/>
    <row r="26348" ht="15" customHeight="1"/>
    <row r="26349" ht="15" customHeight="1"/>
    <row r="26350" ht="15" customHeight="1"/>
    <row r="26351" ht="15" customHeight="1"/>
    <row r="26352" ht="15" customHeight="1"/>
    <row r="26353" ht="15" customHeight="1"/>
    <row r="26354" ht="15" customHeight="1"/>
    <row r="26355" ht="15" customHeight="1"/>
    <row r="26356" ht="15" customHeight="1"/>
    <row r="26357" ht="15" customHeight="1"/>
    <row r="26358" ht="15" customHeight="1"/>
    <row r="26359" ht="15" customHeight="1"/>
    <row r="26360" ht="15" customHeight="1"/>
    <row r="26361" ht="15" customHeight="1"/>
    <row r="26362" ht="15" customHeight="1"/>
    <row r="26363" ht="15" customHeight="1"/>
    <row r="26364" ht="15" customHeight="1"/>
    <row r="26365" ht="15" customHeight="1"/>
    <row r="26366" ht="15" customHeight="1"/>
    <row r="26367" ht="15" customHeight="1"/>
    <row r="26368" ht="15" customHeight="1"/>
    <row r="26369" ht="15" customHeight="1"/>
    <row r="26370" ht="15" customHeight="1"/>
    <row r="26371" ht="15" customHeight="1"/>
    <row r="26372" ht="15" customHeight="1"/>
    <row r="26373" ht="15" customHeight="1"/>
    <row r="26374" ht="15" customHeight="1"/>
    <row r="26375" ht="15" customHeight="1"/>
    <row r="26376" ht="15" customHeight="1"/>
    <row r="26377" ht="15" customHeight="1"/>
    <row r="26378" ht="15" customHeight="1"/>
    <row r="26379" ht="15" customHeight="1"/>
    <row r="26380" ht="15" customHeight="1"/>
    <row r="26381" ht="15" customHeight="1"/>
    <row r="26382" ht="15" customHeight="1"/>
    <row r="26383" ht="15" customHeight="1"/>
    <row r="26384" ht="15" customHeight="1"/>
    <row r="26385" ht="15" customHeight="1"/>
    <row r="26386" ht="15" customHeight="1"/>
    <row r="26387" ht="15" customHeight="1"/>
    <row r="26388" ht="15" customHeight="1"/>
    <row r="26389" ht="15" customHeight="1"/>
    <row r="26390" ht="15" customHeight="1"/>
    <row r="26391" ht="15" customHeight="1"/>
    <row r="26392" ht="15" customHeight="1"/>
    <row r="26393" ht="15" customHeight="1"/>
    <row r="26394" ht="15" customHeight="1"/>
    <row r="26395" ht="15" customHeight="1"/>
    <row r="26396" ht="15" customHeight="1"/>
    <row r="26397" ht="15" customHeight="1"/>
    <row r="26398" ht="15" customHeight="1"/>
    <row r="26399" ht="15" customHeight="1"/>
    <row r="26400" ht="15" customHeight="1"/>
    <row r="26401" ht="15" customHeight="1"/>
    <row r="26402" ht="15" customHeight="1"/>
    <row r="26403" ht="15" customHeight="1"/>
    <row r="26404" ht="15" customHeight="1"/>
    <row r="26405" ht="15" customHeight="1"/>
    <row r="26406" ht="15" customHeight="1"/>
    <row r="26407" ht="15" customHeight="1"/>
    <row r="26408" ht="15" customHeight="1"/>
    <row r="26409" ht="15" customHeight="1"/>
    <row r="26410" ht="15" customHeight="1"/>
    <row r="26411" ht="15" customHeight="1"/>
    <row r="26412" ht="15" customHeight="1"/>
    <row r="26413" ht="15" customHeight="1"/>
    <row r="26414" ht="15" customHeight="1"/>
    <row r="26415" ht="15" customHeight="1"/>
    <row r="26416" ht="15" customHeight="1"/>
    <row r="26417" ht="15" customHeight="1"/>
    <row r="26418" ht="15" customHeight="1"/>
    <row r="26419" ht="15" customHeight="1"/>
    <row r="26420" ht="15" customHeight="1"/>
    <row r="26421" ht="15" customHeight="1"/>
    <row r="26422" ht="15" customHeight="1"/>
    <row r="26423" ht="15" customHeight="1"/>
    <row r="26424" ht="15" customHeight="1"/>
    <row r="26425" ht="15" customHeight="1"/>
    <row r="26426" ht="15" customHeight="1"/>
    <row r="26427" ht="15" customHeight="1"/>
    <row r="26428" ht="15" customHeight="1"/>
    <row r="26429" ht="15" customHeight="1"/>
    <row r="26430" ht="15" customHeight="1"/>
    <row r="26431" ht="15" customHeight="1"/>
    <row r="26432" ht="15" customHeight="1"/>
    <row r="26433" ht="15" customHeight="1"/>
    <row r="26434" ht="15" customHeight="1"/>
    <row r="26435" ht="15" customHeight="1"/>
    <row r="26436" ht="15" customHeight="1"/>
    <row r="26437" ht="15" customHeight="1"/>
    <row r="26438" ht="15" customHeight="1"/>
    <row r="26439" ht="15" customHeight="1"/>
    <row r="26440" ht="15" customHeight="1"/>
    <row r="26441" ht="15" customHeight="1"/>
    <row r="26442" ht="15" customHeight="1"/>
    <row r="26443" ht="15" customHeight="1"/>
    <row r="26444" ht="15" customHeight="1"/>
    <row r="26445" ht="15" customHeight="1"/>
    <row r="26446" ht="15" customHeight="1"/>
    <row r="26447" ht="15" customHeight="1"/>
    <row r="26448" ht="15" customHeight="1"/>
    <row r="26449" ht="15" customHeight="1"/>
    <row r="26450" ht="15" customHeight="1"/>
    <row r="26451" ht="15" customHeight="1"/>
    <row r="26452" ht="15" customHeight="1"/>
    <row r="26453" ht="15" customHeight="1"/>
    <row r="26454" ht="15" customHeight="1"/>
    <row r="26455" ht="15" customHeight="1"/>
    <row r="26456" ht="15" customHeight="1"/>
    <row r="26457" ht="15" customHeight="1"/>
    <row r="26458" ht="15" customHeight="1"/>
    <row r="26459" ht="15" customHeight="1"/>
    <row r="26460" ht="15" customHeight="1"/>
    <row r="26461" ht="15" customHeight="1"/>
    <row r="26462" ht="15" customHeight="1"/>
    <row r="26463" ht="15" customHeight="1"/>
    <row r="26464" ht="15" customHeight="1"/>
    <row r="26465" ht="15" customHeight="1"/>
    <row r="26466" ht="15" customHeight="1"/>
    <row r="26467" ht="15" customHeight="1"/>
    <row r="26468" ht="15" customHeight="1"/>
    <row r="26469" ht="15" customHeight="1"/>
    <row r="26470" ht="15" customHeight="1"/>
    <row r="26471" ht="15" customHeight="1"/>
    <row r="26472" ht="15" customHeight="1"/>
    <row r="26473" ht="15" customHeight="1"/>
    <row r="26474" ht="15" customHeight="1"/>
    <row r="26475" ht="15" customHeight="1"/>
    <row r="26476" ht="15" customHeight="1"/>
    <row r="26477" ht="15" customHeight="1"/>
    <row r="26478" ht="15" customHeight="1"/>
    <row r="26479" ht="15" customHeight="1"/>
    <row r="26480" ht="15" customHeight="1"/>
    <row r="26481" ht="15" customHeight="1"/>
    <row r="26482" ht="15" customHeight="1"/>
    <row r="26483" ht="15" customHeight="1"/>
    <row r="26484" ht="15" customHeight="1"/>
    <row r="26485" ht="15" customHeight="1"/>
    <row r="26486" ht="15" customHeight="1"/>
    <row r="26487" ht="15" customHeight="1"/>
    <row r="26488" ht="15" customHeight="1"/>
    <row r="26489" ht="15" customHeight="1"/>
    <row r="26490" ht="15" customHeight="1"/>
    <row r="26491" ht="15" customHeight="1"/>
    <row r="26492" ht="15" customHeight="1"/>
    <row r="26493" ht="15" customHeight="1"/>
    <row r="26494" ht="15" customHeight="1"/>
    <row r="26495" ht="15" customHeight="1"/>
    <row r="26496" ht="15" customHeight="1"/>
    <row r="26497" ht="15" customHeight="1"/>
    <row r="26498" ht="15" customHeight="1"/>
    <row r="26499" ht="15" customHeight="1"/>
    <row r="26500" ht="15" customHeight="1"/>
    <row r="26501" ht="15" customHeight="1"/>
    <row r="26502" ht="15" customHeight="1"/>
    <row r="26503" ht="15" customHeight="1"/>
    <row r="26504" ht="15" customHeight="1"/>
    <row r="26505" ht="15" customHeight="1"/>
    <row r="26506" ht="15" customHeight="1"/>
    <row r="26507" ht="15" customHeight="1"/>
    <row r="26508" ht="15" customHeight="1"/>
    <row r="26509" ht="15" customHeight="1"/>
    <row r="26510" ht="15" customHeight="1"/>
    <row r="26511" ht="15" customHeight="1"/>
    <row r="26512" ht="15" customHeight="1"/>
    <row r="26513" ht="15" customHeight="1"/>
    <row r="26514" ht="15" customHeight="1"/>
    <row r="26515" ht="15" customHeight="1"/>
    <row r="26516" ht="15" customHeight="1"/>
    <row r="26517" ht="15" customHeight="1"/>
    <row r="26518" ht="15" customHeight="1"/>
    <row r="26519" ht="15" customHeight="1"/>
    <row r="26520" ht="15" customHeight="1"/>
    <row r="26521" ht="15" customHeight="1"/>
    <row r="26522" ht="15" customHeight="1"/>
    <row r="26523" ht="15" customHeight="1"/>
    <row r="26524" ht="15" customHeight="1"/>
    <row r="26525" ht="15" customHeight="1"/>
    <row r="26526" ht="15" customHeight="1"/>
    <row r="26527" ht="15" customHeight="1"/>
    <row r="26528" ht="15" customHeight="1"/>
    <row r="26529" ht="15" customHeight="1"/>
    <row r="26530" ht="15" customHeight="1"/>
    <row r="26531" ht="15" customHeight="1"/>
    <row r="26532" ht="15" customHeight="1"/>
    <row r="26533" ht="15" customHeight="1"/>
    <row r="26534" ht="15" customHeight="1"/>
    <row r="26535" ht="15" customHeight="1"/>
    <row r="26536" ht="15" customHeight="1"/>
    <row r="26537" ht="15" customHeight="1"/>
    <row r="26538" ht="15" customHeight="1"/>
    <row r="26539" ht="15" customHeight="1"/>
    <row r="26540" ht="15" customHeight="1"/>
    <row r="26541" ht="15" customHeight="1"/>
    <row r="26542" ht="15" customHeight="1"/>
    <row r="26543" ht="15" customHeight="1"/>
    <row r="26544" ht="15" customHeight="1"/>
    <row r="26545" ht="15" customHeight="1"/>
    <row r="26546" ht="15" customHeight="1"/>
    <row r="26547" ht="15" customHeight="1"/>
    <row r="26548" ht="15" customHeight="1"/>
    <row r="26549" ht="15" customHeight="1"/>
    <row r="26550" ht="15" customHeight="1"/>
    <row r="26551" ht="15" customHeight="1"/>
    <row r="26552" ht="15" customHeight="1"/>
    <row r="26553" ht="15" customHeight="1"/>
    <row r="26554" ht="15" customHeight="1"/>
    <row r="26555" ht="15" customHeight="1"/>
    <row r="26556" ht="15" customHeight="1"/>
    <row r="26557" ht="15" customHeight="1"/>
    <row r="26558" ht="15" customHeight="1"/>
    <row r="26559" ht="15" customHeight="1"/>
    <row r="26560" ht="15" customHeight="1"/>
    <row r="26561" ht="15" customHeight="1"/>
    <row r="26562" ht="15" customHeight="1"/>
    <row r="26563" ht="15" customHeight="1"/>
    <row r="26564" ht="15" customHeight="1"/>
    <row r="26565" ht="15" customHeight="1"/>
    <row r="26566" ht="15" customHeight="1"/>
    <row r="26567" ht="15" customHeight="1"/>
    <row r="26568" ht="15" customHeight="1"/>
    <row r="26569" ht="15" customHeight="1"/>
    <row r="26570" ht="15" customHeight="1"/>
    <row r="26571" ht="15" customHeight="1"/>
    <row r="26572" ht="15" customHeight="1"/>
    <row r="26573" ht="15" customHeight="1"/>
    <row r="26574" ht="15" customHeight="1"/>
    <row r="26575" ht="15" customHeight="1"/>
    <row r="26576" ht="15" customHeight="1"/>
    <row r="26577" ht="15" customHeight="1"/>
    <row r="26578" ht="15" customHeight="1"/>
    <row r="26579" ht="15" customHeight="1"/>
    <row r="26580" ht="15" customHeight="1"/>
    <row r="26581" ht="15" customHeight="1"/>
    <row r="26582" ht="15" customHeight="1"/>
    <row r="26583" ht="15" customHeight="1"/>
    <row r="26584" ht="15" customHeight="1"/>
    <row r="26585" ht="15" customHeight="1"/>
    <row r="26586" ht="15" customHeight="1"/>
    <row r="26587" ht="15" customHeight="1"/>
    <row r="26588" ht="15" customHeight="1"/>
    <row r="26589" ht="15" customHeight="1"/>
    <row r="26590" ht="15" customHeight="1"/>
    <row r="26591" ht="15" customHeight="1"/>
    <row r="26592" ht="15" customHeight="1"/>
    <row r="26593" ht="15" customHeight="1"/>
    <row r="26594" ht="15" customHeight="1"/>
    <row r="26595" ht="15" customHeight="1"/>
    <row r="26596" ht="15" customHeight="1"/>
    <row r="26597" ht="15" customHeight="1"/>
    <row r="26598" ht="15" customHeight="1"/>
    <row r="26599" ht="15" customHeight="1"/>
    <row r="26600" ht="15" customHeight="1"/>
    <row r="26601" ht="15" customHeight="1"/>
    <row r="26602" ht="15" customHeight="1"/>
    <row r="26603" ht="15" customHeight="1"/>
    <row r="26604" ht="15" customHeight="1"/>
    <row r="26605" ht="15" customHeight="1"/>
    <row r="26606" ht="15" customHeight="1"/>
    <row r="26607" ht="15" customHeight="1"/>
    <row r="26608" ht="15" customHeight="1"/>
    <row r="26609" ht="15" customHeight="1"/>
    <row r="26610" ht="15" customHeight="1"/>
    <row r="26611" ht="15" customHeight="1"/>
    <row r="26612" ht="15" customHeight="1"/>
    <row r="26613" ht="15" customHeight="1"/>
    <row r="26614" ht="15" customHeight="1"/>
    <row r="26615" ht="15" customHeight="1"/>
    <row r="26616" ht="15" customHeight="1"/>
    <row r="26617" ht="15" customHeight="1"/>
    <row r="26618" ht="15" customHeight="1"/>
    <row r="26619" ht="15" customHeight="1"/>
    <row r="26620" ht="15" customHeight="1"/>
    <row r="26621" ht="15" customHeight="1"/>
    <row r="26622" ht="15" customHeight="1"/>
    <row r="26623" ht="15" customHeight="1"/>
    <row r="26624" ht="15" customHeight="1"/>
    <row r="26625" ht="15" customHeight="1"/>
    <row r="26626" ht="15" customHeight="1"/>
    <row r="26627" ht="15" customHeight="1"/>
    <row r="26628" ht="15" customHeight="1"/>
    <row r="26629" ht="15" customHeight="1"/>
    <row r="26630" ht="15" customHeight="1"/>
    <row r="26631" ht="15" customHeight="1"/>
    <row r="26632" ht="15" customHeight="1"/>
    <row r="26633" ht="15" customHeight="1"/>
    <row r="26634" ht="15" customHeight="1"/>
    <row r="26635" ht="15" customHeight="1"/>
    <row r="26636" ht="15" customHeight="1"/>
    <row r="26637" ht="15" customHeight="1"/>
    <row r="26638" ht="15" customHeight="1"/>
    <row r="26639" ht="15" customHeight="1"/>
    <row r="26640" ht="15" customHeight="1"/>
    <row r="26641" ht="15" customHeight="1"/>
    <row r="26642" ht="15" customHeight="1"/>
    <row r="26643" ht="15" customHeight="1"/>
    <row r="26644" ht="15" customHeight="1"/>
    <row r="26645" ht="15" customHeight="1"/>
    <row r="26646" ht="15" customHeight="1"/>
    <row r="26647" ht="15" customHeight="1"/>
    <row r="26648" ht="15" customHeight="1"/>
    <row r="26649" ht="15" customHeight="1"/>
    <row r="26650" ht="15" customHeight="1"/>
    <row r="26651" ht="15" customHeight="1"/>
    <row r="26652" ht="15" customHeight="1"/>
    <row r="26653" ht="15" customHeight="1"/>
    <row r="26654" ht="15" customHeight="1"/>
    <row r="26655" ht="15" customHeight="1"/>
    <row r="26656" ht="15" customHeight="1"/>
    <row r="26657" ht="15" customHeight="1"/>
    <row r="26658" ht="15" customHeight="1"/>
    <row r="26659" ht="15" customHeight="1"/>
    <row r="26660" ht="15" customHeight="1"/>
    <row r="26661" ht="15" customHeight="1"/>
    <row r="26662" ht="15" customHeight="1"/>
    <row r="26663" ht="15" customHeight="1"/>
    <row r="26664" ht="15" customHeight="1"/>
    <row r="26665" ht="15" customHeight="1"/>
    <row r="26666" ht="15" customHeight="1"/>
    <row r="26667" ht="15" customHeight="1"/>
    <row r="26668" ht="15" customHeight="1"/>
    <row r="26669" ht="15" customHeight="1"/>
    <row r="26670" ht="15" customHeight="1"/>
    <row r="26671" ht="15" customHeight="1"/>
    <row r="26672" ht="15" customHeight="1"/>
    <row r="26673" ht="15" customHeight="1"/>
    <row r="26674" ht="15" customHeight="1"/>
    <row r="26675" ht="15" customHeight="1"/>
    <row r="26676" ht="15" customHeight="1"/>
    <row r="26677" ht="15" customHeight="1"/>
    <row r="26678" ht="15" customHeight="1"/>
    <row r="26679" ht="15" customHeight="1"/>
    <row r="26680" ht="15" customHeight="1"/>
    <row r="26681" ht="15" customHeight="1"/>
    <row r="26682" ht="15" customHeight="1"/>
    <row r="26683" ht="15" customHeight="1"/>
    <row r="26684" ht="15" customHeight="1"/>
    <row r="26685" ht="15" customHeight="1"/>
    <row r="26686" ht="15" customHeight="1"/>
    <row r="26687" ht="15" customHeight="1"/>
    <row r="26688" ht="15" customHeight="1"/>
    <row r="26689" ht="15" customHeight="1"/>
    <row r="26690" ht="15" customHeight="1"/>
    <row r="26691" ht="15" customHeight="1"/>
    <row r="26692" ht="15" customHeight="1"/>
    <row r="26693" ht="15" customHeight="1"/>
    <row r="26694" ht="15" customHeight="1"/>
    <row r="26695" ht="15" customHeight="1"/>
    <row r="26696" ht="15" customHeight="1"/>
    <row r="26697" ht="15" customHeight="1"/>
    <row r="26698" ht="15" customHeight="1"/>
    <row r="26699" ht="15" customHeight="1"/>
    <row r="26700" ht="15" customHeight="1"/>
    <row r="26701" ht="15" customHeight="1"/>
    <row r="26702" ht="15" customHeight="1"/>
    <row r="26703" ht="15" customHeight="1"/>
    <row r="26704" ht="15" customHeight="1"/>
    <row r="26705" ht="15" customHeight="1"/>
    <row r="26706" ht="15" customHeight="1"/>
    <row r="26707" ht="15" customHeight="1"/>
    <row r="26708" ht="15" customHeight="1"/>
    <row r="26709" ht="15" customHeight="1"/>
    <row r="26710" ht="15" customHeight="1"/>
    <row r="26711" ht="15" customHeight="1"/>
    <row r="26712" ht="15" customHeight="1"/>
    <row r="26713" ht="15" customHeight="1"/>
    <row r="26714" ht="15" customHeight="1"/>
    <row r="26715" ht="15" customHeight="1"/>
    <row r="26716" ht="15" customHeight="1"/>
    <row r="26717" ht="15" customHeight="1"/>
    <row r="26718" ht="15" customHeight="1"/>
    <row r="26719" ht="15" customHeight="1"/>
    <row r="26720" ht="15" customHeight="1"/>
    <row r="26721" ht="15" customHeight="1"/>
    <row r="26722" ht="15" customHeight="1"/>
    <row r="26723" ht="15" customHeight="1"/>
    <row r="26724" ht="15" customHeight="1"/>
    <row r="26725" ht="15" customHeight="1"/>
    <row r="26726" ht="15" customHeight="1"/>
    <row r="26727" ht="15" customHeight="1"/>
    <row r="26728" ht="15" customHeight="1"/>
    <row r="26729" ht="15" customHeight="1"/>
    <row r="26730" ht="15" customHeight="1"/>
    <row r="26731" ht="15" customHeight="1"/>
    <row r="26732" ht="15" customHeight="1"/>
    <row r="26733" ht="15" customHeight="1"/>
    <row r="26734" ht="15" customHeight="1"/>
    <row r="26735" ht="15" customHeight="1"/>
    <row r="26736" ht="15" customHeight="1"/>
    <row r="26737" ht="15" customHeight="1"/>
    <row r="26738" ht="15" customHeight="1"/>
    <row r="26739" ht="15" customHeight="1"/>
    <row r="26740" ht="15" customHeight="1"/>
    <row r="26741" ht="15" customHeight="1"/>
    <row r="26742" ht="15" customHeight="1"/>
    <row r="26743" ht="15" customHeight="1"/>
    <row r="26744" ht="15" customHeight="1"/>
    <row r="26745" ht="15" customHeight="1"/>
    <row r="26746" ht="15" customHeight="1"/>
    <row r="26747" ht="15" customHeight="1"/>
    <row r="26748" ht="15" customHeight="1"/>
    <row r="26749" ht="15" customHeight="1"/>
    <row r="26750" ht="15" customHeight="1"/>
    <row r="26751" ht="15" customHeight="1"/>
    <row r="26752" ht="15" customHeight="1"/>
    <row r="26753" ht="15" customHeight="1"/>
    <row r="26754" ht="15" customHeight="1"/>
    <row r="26755" ht="15" customHeight="1"/>
    <row r="26756" ht="15" customHeight="1"/>
    <row r="26757" ht="15" customHeight="1"/>
    <row r="26758" ht="15" customHeight="1"/>
    <row r="26759" ht="15" customHeight="1"/>
    <row r="26760" ht="15" customHeight="1"/>
    <row r="26761" ht="15" customHeight="1"/>
    <row r="26762" ht="15" customHeight="1"/>
    <row r="26763" ht="15" customHeight="1"/>
    <row r="26764" ht="15" customHeight="1"/>
    <row r="26765" ht="15" customHeight="1"/>
    <row r="26766" ht="15" customHeight="1"/>
    <row r="26767" ht="15" customHeight="1"/>
    <row r="26768" ht="15" customHeight="1"/>
    <row r="26769" ht="15" customHeight="1"/>
    <row r="26770" ht="15" customHeight="1"/>
    <row r="26771" ht="15" customHeight="1"/>
    <row r="26772" ht="15" customHeight="1"/>
    <row r="26773" ht="15" customHeight="1"/>
    <row r="26774" ht="15" customHeight="1"/>
    <row r="26775" ht="15" customHeight="1"/>
    <row r="26776" ht="15" customHeight="1"/>
    <row r="26777" ht="15" customHeight="1"/>
    <row r="26778" ht="15" customHeight="1"/>
    <row r="26779" ht="15" customHeight="1"/>
    <row r="26780" ht="15" customHeight="1"/>
    <row r="26781" ht="15" customHeight="1"/>
    <row r="26782" ht="15" customHeight="1"/>
    <row r="26783" ht="15" customHeight="1"/>
    <row r="26784" ht="15" customHeight="1"/>
    <row r="26785" ht="15" customHeight="1"/>
    <row r="26786" ht="15" customHeight="1"/>
    <row r="26787" ht="15" customHeight="1"/>
    <row r="26788" ht="15" customHeight="1"/>
    <row r="26789" ht="15" customHeight="1"/>
    <row r="26790" ht="15" customHeight="1"/>
    <row r="26791" ht="15" customHeight="1"/>
    <row r="26792" ht="15" customHeight="1"/>
    <row r="26793" ht="15" customHeight="1"/>
    <row r="26794" ht="15" customHeight="1"/>
    <row r="26795" ht="15" customHeight="1"/>
    <row r="26796" ht="15" customHeight="1"/>
    <row r="26797" ht="15" customHeight="1"/>
    <row r="26798" ht="15" customHeight="1"/>
    <row r="26799" ht="15" customHeight="1"/>
    <row r="26800" ht="15" customHeight="1"/>
    <row r="26801" ht="15" customHeight="1"/>
    <row r="26802" ht="15" customHeight="1"/>
    <row r="26803" ht="15" customHeight="1"/>
    <row r="26804" ht="15" customHeight="1"/>
    <row r="26805" ht="15" customHeight="1"/>
    <row r="26806" ht="15" customHeight="1"/>
    <row r="26807" ht="15" customHeight="1"/>
    <row r="26808" ht="15" customHeight="1"/>
    <row r="26809" ht="15" customHeight="1"/>
    <row r="26810" ht="15" customHeight="1"/>
    <row r="26811" ht="15" customHeight="1"/>
    <row r="26812" ht="15" customHeight="1"/>
    <row r="26813" ht="15" customHeight="1"/>
    <row r="26814" ht="15" customHeight="1"/>
    <row r="26815" ht="15" customHeight="1"/>
    <row r="26816" ht="15" customHeight="1"/>
    <row r="26817" ht="15" customHeight="1"/>
    <row r="26818" ht="15" customHeight="1"/>
    <row r="26819" ht="15" customHeight="1"/>
    <row r="26820" ht="15" customHeight="1"/>
    <row r="26821" ht="15" customHeight="1"/>
    <row r="26822" ht="15" customHeight="1"/>
    <row r="26823" ht="15" customHeight="1"/>
    <row r="26824" ht="15" customHeight="1"/>
    <row r="26825" ht="15" customHeight="1"/>
    <row r="26826" ht="15" customHeight="1"/>
    <row r="26827" ht="15" customHeight="1"/>
    <row r="26828" ht="15" customHeight="1"/>
    <row r="26829" ht="15" customHeight="1"/>
    <row r="26830" ht="15" customHeight="1"/>
    <row r="26831" ht="15" customHeight="1"/>
    <row r="26832" ht="15" customHeight="1"/>
    <row r="26833" ht="15" customHeight="1"/>
    <row r="26834" ht="15" customHeight="1"/>
    <row r="26835" ht="15" customHeight="1"/>
    <row r="26836" ht="15" customHeight="1"/>
    <row r="26837" ht="15" customHeight="1"/>
    <row r="26838" ht="15" customHeight="1"/>
    <row r="26839" ht="15" customHeight="1"/>
    <row r="26840" ht="15" customHeight="1"/>
    <row r="26841" ht="15" customHeight="1"/>
    <row r="26842" ht="15" customHeight="1"/>
    <row r="26843" ht="15" customHeight="1"/>
    <row r="26844" ht="15" customHeight="1"/>
    <row r="26845" ht="15" customHeight="1"/>
    <row r="26846" ht="15" customHeight="1"/>
    <row r="26847" ht="15" customHeight="1"/>
    <row r="26848" ht="15" customHeight="1"/>
    <row r="26849" ht="15" customHeight="1"/>
    <row r="26850" ht="15" customHeight="1"/>
    <row r="26851" ht="15" customHeight="1"/>
    <row r="26852" ht="15" customHeight="1"/>
    <row r="26853" ht="15" customHeight="1"/>
    <row r="26854" ht="15" customHeight="1"/>
    <row r="26855" ht="15" customHeight="1"/>
    <row r="26856" ht="15" customHeight="1"/>
    <row r="26857" ht="15" customHeight="1"/>
    <row r="26858" ht="15" customHeight="1"/>
    <row r="26859" ht="15" customHeight="1"/>
    <row r="26860" ht="15" customHeight="1"/>
    <row r="26861" ht="15" customHeight="1"/>
    <row r="26862" ht="15" customHeight="1"/>
    <row r="26863" ht="15" customHeight="1"/>
    <row r="26864" ht="15" customHeight="1"/>
    <row r="26865" ht="15" customHeight="1"/>
    <row r="26866" ht="15" customHeight="1"/>
    <row r="26867" ht="15" customHeight="1"/>
    <row r="26868" ht="15" customHeight="1"/>
    <row r="26869" ht="15" customHeight="1"/>
    <row r="26870" ht="15" customHeight="1"/>
    <row r="26871" ht="15" customHeight="1"/>
    <row r="26872" ht="15" customHeight="1"/>
    <row r="26873" ht="15" customHeight="1"/>
    <row r="26874" ht="15" customHeight="1"/>
    <row r="26875" ht="15" customHeight="1"/>
    <row r="26876" ht="15" customHeight="1"/>
    <row r="26877" ht="15" customHeight="1"/>
    <row r="26878" ht="15" customHeight="1"/>
    <row r="26879" ht="15" customHeight="1"/>
    <row r="26880" ht="15" customHeight="1"/>
    <row r="26881" ht="15" customHeight="1"/>
    <row r="26882" ht="15" customHeight="1"/>
    <row r="26883" ht="15" customHeight="1"/>
    <row r="26884" ht="15" customHeight="1"/>
    <row r="26885" ht="15" customHeight="1"/>
    <row r="26886" ht="15" customHeight="1"/>
    <row r="26887" ht="15" customHeight="1"/>
    <row r="26888" ht="15" customHeight="1"/>
    <row r="26889" ht="15" customHeight="1"/>
    <row r="26890" ht="15" customHeight="1"/>
    <row r="26891" ht="15" customHeight="1"/>
    <row r="26892" ht="15" customHeight="1"/>
    <row r="26893" ht="15" customHeight="1"/>
    <row r="26894" ht="15" customHeight="1"/>
    <row r="26895" ht="15" customHeight="1"/>
    <row r="26896" ht="15" customHeight="1"/>
    <row r="26897" ht="15" customHeight="1"/>
    <row r="26898" ht="15" customHeight="1"/>
    <row r="26899" ht="15" customHeight="1"/>
    <row r="26900" ht="15" customHeight="1"/>
    <row r="26901" ht="15" customHeight="1"/>
    <row r="26902" ht="15" customHeight="1"/>
    <row r="26903" ht="15" customHeight="1"/>
    <row r="26904" ht="15" customHeight="1"/>
    <row r="26905" ht="15" customHeight="1"/>
    <row r="26906" ht="15" customHeight="1"/>
    <row r="26907" ht="15" customHeight="1"/>
    <row r="26908" ht="15" customHeight="1"/>
    <row r="26909" ht="15" customHeight="1"/>
    <row r="26910" ht="15" customHeight="1"/>
    <row r="26911" ht="15" customHeight="1"/>
    <row r="26912" ht="15" customHeight="1"/>
    <row r="26913" ht="15" customHeight="1"/>
    <row r="26914" ht="15" customHeight="1"/>
    <row r="26915" ht="15" customHeight="1"/>
    <row r="26916" ht="15" customHeight="1"/>
    <row r="26917" ht="15" customHeight="1"/>
    <row r="26918" ht="15" customHeight="1"/>
    <row r="26919" ht="15" customHeight="1"/>
    <row r="26920" ht="15" customHeight="1"/>
    <row r="26921" ht="15" customHeight="1"/>
    <row r="26922" ht="15" customHeight="1"/>
    <row r="26923" ht="15" customHeight="1"/>
    <row r="26924" ht="15" customHeight="1"/>
    <row r="26925" ht="15" customHeight="1"/>
    <row r="26926" ht="15" customHeight="1"/>
    <row r="26927" ht="15" customHeight="1"/>
    <row r="26928" ht="15" customHeight="1"/>
    <row r="26929" ht="15" customHeight="1"/>
    <row r="26930" ht="15" customHeight="1"/>
    <row r="26931" ht="15" customHeight="1"/>
    <row r="26932" ht="15" customHeight="1"/>
    <row r="26933" ht="15" customHeight="1"/>
    <row r="26934" ht="15" customHeight="1"/>
    <row r="26935" ht="15" customHeight="1"/>
    <row r="26936" ht="15" customHeight="1"/>
    <row r="26937" ht="15" customHeight="1"/>
    <row r="26938" ht="15" customHeight="1"/>
    <row r="26939" ht="15" customHeight="1"/>
    <row r="26940" ht="15" customHeight="1"/>
    <row r="26941" ht="15" customHeight="1"/>
    <row r="26942" ht="15" customHeight="1"/>
    <row r="26943" ht="15" customHeight="1"/>
    <row r="26944" ht="15" customHeight="1"/>
    <row r="26945" ht="15" customHeight="1"/>
    <row r="26946" ht="15" customHeight="1"/>
    <row r="26947" ht="15" customHeight="1"/>
    <row r="26948" ht="15" customHeight="1"/>
    <row r="26949" ht="15" customHeight="1"/>
    <row r="26950" ht="15" customHeight="1"/>
    <row r="26951" ht="15" customHeight="1"/>
    <row r="26952" ht="15" customHeight="1"/>
    <row r="26953" ht="15" customHeight="1"/>
    <row r="26954" ht="15" customHeight="1"/>
    <row r="26955" ht="15" customHeight="1"/>
    <row r="26956" ht="15" customHeight="1"/>
    <row r="26957" ht="15" customHeight="1"/>
    <row r="26958" ht="15" customHeight="1"/>
    <row r="26959" ht="15" customHeight="1"/>
    <row r="26960" ht="15" customHeight="1"/>
    <row r="26961" ht="15" customHeight="1"/>
    <row r="26962" ht="15" customHeight="1"/>
    <row r="26963" ht="15" customHeight="1"/>
    <row r="26964" ht="15" customHeight="1"/>
    <row r="26965" ht="15" customHeight="1"/>
    <row r="26966" ht="15" customHeight="1"/>
    <row r="26967" ht="15" customHeight="1"/>
    <row r="26968" ht="15" customHeight="1"/>
    <row r="26969" ht="15" customHeight="1"/>
    <row r="26970" ht="15" customHeight="1"/>
    <row r="26971" ht="15" customHeight="1"/>
    <row r="26972" ht="15" customHeight="1"/>
    <row r="26973" ht="15" customHeight="1"/>
    <row r="26974" ht="15" customHeight="1"/>
    <row r="26975" ht="15" customHeight="1"/>
    <row r="26976" ht="15" customHeight="1"/>
    <row r="26977" ht="15" customHeight="1"/>
    <row r="26978" ht="15" customHeight="1"/>
    <row r="26979" ht="15" customHeight="1"/>
    <row r="26980" ht="15" customHeight="1"/>
    <row r="26981" ht="15" customHeight="1"/>
    <row r="26982" ht="15" customHeight="1"/>
    <row r="26983" ht="15" customHeight="1"/>
    <row r="26984" ht="15" customHeight="1"/>
    <row r="26985" ht="15" customHeight="1"/>
    <row r="26986" ht="15" customHeight="1"/>
    <row r="26987" ht="15" customHeight="1"/>
    <row r="26988" ht="15" customHeight="1"/>
    <row r="26989" ht="15" customHeight="1"/>
    <row r="26990" ht="15" customHeight="1"/>
    <row r="26991" ht="15" customHeight="1"/>
    <row r="26992" ht="15" customHeight="1"/>
    <row r="26993" ht="15" customHeight="1"/>
    <row r="26994" ht="15" customHeight="1"/>
    <row r="26995" ht="15" customHeight="1"/>
    <row r="26996" ht="15" customHeight="1"/>
    <row r="26997" ht="15" customHeight="1"/>
    <row r="26998" ht="15" customHeight="1"/>
    <row r="26999" ht="15" customHeight="1"/>
    <row r="27000" ht="15" customHeight="1"/>
    <row r="27001" ht="15" customHeight="1"/>
    <row r="27002" ht="15" customHeight="1"/>
    <row r="27003" ht="15" customHeight="1"/>
    <row r="27004" ht="15" customHeight="1"/>
    <row r="27005" ht="15" customHeight="1"/>
    <row r="27006" ht="15" customHeight="1"/>
    <row r="27007" ht="15" customHeight="1"/>
    <row r="27008" ht="15" customHeight="1"/>
    <row r="27009" ht="15" customHeight="1"/>
    <row r="27010" ht="15" customHeight="1"/>
    <row r="27011" ht="15" customHeight="1"/>
    <row r="27012" ht="15" customHeight="1"/>
    <row r="27013" ht="15" customHeight="1"/>
    <row r="27014" ht="15" customHeight="1"/>
    <row r="27015" ht="15" customHeight="1"/>
    <row r="27016" ht="15" customHeight="1"/>
    <row r="27017" ht="15" customHeight="1"/>
    <row r="27018" ht="15" customHeight="1"/>
    <row r="27019" ht="15" customHeight="1"/>
    <row r="27020" ht="15" customHeight="1"/>
    <row r="27021" ht="15" customHeight="1"/>
    <row r="27022" ht="15" customHeight="1"/>
    <row r="27023" ht="15" customHeight="1"/>
    <row r="27024" ht="15" customHeight="1"/>
    <row r="27025" ht="15" customHeight="1"/>
    <row r="27026" ht="15" customHeight="1"/>
    <row r="27027" ht="15" customHeight="1"/>
    <row r="27028" ht="15" customHeight="1"/>
    <row r="27029" ht="15" customHeight="1"/>
    <row r="27030" ht="15" customHeight="1"/>
    <row r="27031" ht="15" customHeight="1"/>
    <row r="27032" ht="15" customHeight="1"/>
    <row r="27033" ht="15" customHeight="1"/>
    <row r="27034" ht="15" customHeight="1"/>
    <row r="27035" ht="15" customHeight="1"/>
    <row r="27036" ht="15" customHeight="1"/>
    <row r="27037" ht="15" customHeight="1"/>
    <row r="27038" ht="15" customHeight="1"/>
    <row r="27039" ht="15" customHeight="1"/>
    <row r="27040" ht="15" customHeight="1"/>
    <row r="27041" ht="15" customHeight="1"/>
    <row r="27042" ht="15" customHeight="1"/>
    <row r="27043" ht="15" customHeight="1"/>
    <row r="27044" ht="15" customHeight="1"/>
    <row r="27045" ht="15" customHeight="1"/>
    <row r="27046" ht="15" customHeight="1"/>
    <row r="27047" ht="15" customHeight="1"/>
    <row r="27048" ht="15" customHeight="1"/>
    <row r="27049" ht="15" customHeight="1"/>
    <row r="27050" ht="15" customHeight="1"/>
    <row r="27051" ht="15" customHeight="1"/>
    <row r="27052" ht="15" customHeight="1"/>
    <row r="27053" ht="15" customHeight="1"/>
    <row r="27054" ht="15" customHeight="1"/>
    <row r="27055" ht="15" customHeight="1"/>
    <row r="27056" ht="15" customHeight="1"/>
    <row r="27057" ht="15" customHeight="1"/>
    <row r="27058" ht="15" customHeight="1"/>
    <row r="27059" ht="15" customHeight="1"/>
    <row r="27060" ht="15" customHeight="1"/>
    <row r="27061" ht="15" customHeight="1"/>
    <row r="27062" ht="15" customHeight="1"/>
    <row r="27063" ht="15" customHeight="1"/>
    <row r="27064" ht="15" customHeight="1"/>
    <row r="27065" ht="15" customHeight="1"/>
    <row r="27066" ht="15" customHeight="1"/>
    <row r="27067" ht="15" customHeight="1"/>
    <row r="27068" ht="15" customHeight="1"/>
    <row r="27069" ht="15" customHeight="1"/>
    <row r="27070" ht="15" customHeight="1"/>
    <row r="27071" ht="15" customHeight="1"/>
    <row r="27072" ht="15" customHeight="1"/>
    <row r="27073" ht="15" customHeight="1"/>
    <row r="27074" ht="15" customHeight="1"/>
    <row r="27075" ht="15" customHeight="1"/>
    <row r="27076" ht="15" customHeight="1"/>
    <row r="27077" ht="15" customHeight="1"/>
    <row r="27078" ht="15" customHeight="1"/>
    <row r="27079" ht="15" customHeight="1"/>
    <row r="27080" ht="15" customHeight="1"/>
    <row r="27081" ht="15" customHeight="1"/>
    <row r="27082" ht="15" customHeight="1"/>
    <row r="27083" ht="15" customHeight="1"/>
    <row r="27084" ht="15" customHeight="1"/>
    <row r="27085" ht="15" customHeight="1"/>
    <row r="27086" ht="15" customHeight="1"/>
    <row r="27087" ht="15" customHeight="1"/>
    <row r="27088" ht="15" customHeight="1"/>
    <row r="27089" ht="15" customHeight="1"/>
    <row r="27090" ht="15" customHeight="1"/>
    <row r="27091" ht="15" customHeight="1"/>
    <row r="27092" ht="15" customHeight="1"/>
    <row r="27093" ht="15" customHeight="1"/>
    <row r="27094" ht="15" customHeight="1"/>
    <row r="27095" ht="15" customHeight="1"/>
    <row r="27096" ht="15" customHeight="1"/>
    <row r="27097" ht="15" customHeight="1"/>
    <row r="27098" ht="15" customHeight="1"/>
    <row r="27099" ht="15" customHeight="1"/>
    <row r="27100" ht="15" customHeight="1"/>
    <row r="27101" ht="15" customHeight="1"/>
    <row r="27102" ht="15" customHeight="1"/>
    <row r="27103" ht="15" customHeight="1"/>
    <row r="27104" ht="15" customHeight="1"/>
    <row r="27105" ht="15" customHeight="1"/>
    <row r="27106" ht="15" customHeight="1"/>
    <row r="27107" ht="15" customHeight="1"/>
    <row r="27108" ht="15" customHeight="1"/>
    <row r="27109" ht="15" customHeight="1"/>
    <row r="27110" ht="15" customHeight="1"/>
    <row r="27111" ht="15" customHeight="1"/>
    <row r="27112" ht="15" customHeight="1"/>
    <row r="27113" ht="15" customHeight="1"/>
    <row r="27114" ht="15" customHeight="1"/>
    <row r="27115" ht="15" customHeight="1"/>
    <row r="27116" ht="15" customHeight="1"/>
    <row r="27117" ht="15" customHeight="1"/>
    <row r="27118" ht="15" customHeight="1"/>
    <row r="27119" ht="15" customHeight="1"/>
    <row r="27120" ht="15" customHeight="1"/>
    <row r="27121" ht="15" customHeight="1"/>
    <row r="27122" ht="15" customHeight="1"/>
    <row r="27123" ht="15" customHeight="1"/>
    <row r="27124" ht="15" customHeight="1"/>
    <row r="27125" ht="15" customHeight="1"/>
    <row r="27126" ht="15" customHeight="1"/>
    <row r="27127" ht="15" customHeight="1"/>
    <row r="27128" ht="15" customHeight="1"/>
    <row r="27129" ht="15" customHeight="1"/>
    <row r="27130" ht="15" customHeight="1"/>
    <row r="27131" ht="15" customHeight="1"/>
    <row r="27132" ht="15" customHeight="1"/>
    <row r="27133" ht="15" customHeight="1"/>
    <row r="27134" ht="15" customHeight="1"/>
    <row r="27135" ht="15" customHeight="1"/>
    <row r="27136" ht="15" customHeight="1"/>
    <row r="27137" ht="15" customHeight="1"/>
    <row r="27138" ht="15" customHeight="1"/>
    <row r="27139" ht="15" customHeight="1"/>
    <row r="27140" ht="15" customHeight="1"/>
    <row r="27141" ht="15" customHeight="1"/>
    <row r="27142" ht="15" customHeight="1"/>
    <row r="27143" ht="15" customHeight="1"/>
    <row r="27144" ht="15" customHeight="1"/>
    <row r="27145" ht="15" customHeight="1"/>
    <row r="27146" ht="15" customHeight="1"/>
    <row r="27147" ht="15" customHeight="1"/>
    <row r="27148" ht="15" customHeight="1"/>
    <row r="27149" ht="15" customHeight="1"/>
    <row r="27150" ht="15" customHeight="1"/>
    <row r="27151" ht="15" customHeight="1"/>
    <row r="27152" ht="15" customHeight="1"/>
    <row r="27153" ht="15" customHeight="1"/>
    <row r="27154" ht="15" customHeight="1"/>
    <row r="27155" ht="15" customHeight="1"/>
    <row r="27156" ht="15" customHeight="1"/>
  </sheetData>
  <autoFilter ref="B5:Y27156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1.81640625" bestFit="1" customWidth="1" min="1" max="1"/>
    <col width="10.453125" bestFit="1" customWidth="1" min="2" max="2"/>
    <col width="16.26953125" bestFit="1" customWidth="1" min="3" max="3"/>
    <col width="15" bestFit="1" customWidth="1" min="4" max="4"/>
    <col width="14.54296875" bestFit="1" customWidth="1" min="5" max="5"/>
    <col width="29" bestFit="1" customWidth="1" min="6" max="6"/>
    <col width="20.26953125" bestFit="1" customWidth="1" min="7" max="7"/>
    <col width="19.1796875" bestFit="1" customWidth="1" min="8" max="8"/>
    <col width="43" bestFit="1" customWidth="1" min="9" max="9"/>
    <col width="16.7265625" bestFit="1" customWidth="1" min="10" max="10"/>
    <col width="12.54296875" bestFit="1" customWidth="1" min="11" max="11"/>
    <col width="13.81640625" bestFit="1" customWidth="1" min="12" max="12"/>
    <col width="12.1796875" bestFit="1" customWidth="1" min="13" max="13"/>
    <col width="13.26953125" bestFit="1" customWidth="1" min="14" max="15"/>
    <col width="26.453125" bestFit="1" customWidth="1" min="16" max="16"/>
    <col width="4" bestFit="1" customWidth="1" min="17" max="17"/>
    <col width="15.81640625" bestFit="1" customWidth="1" min="18" max="18"/>
    <col width="15.453125" bestFit="1" customWidth="1" min="19" max="19"/>
    <col width="15.1796875" bestFit="1" customWidth="1" min="20" max="20"/>
    <col width="9.453125" bestFit="1" customWidth="1" min="21" max="21"/>
    <col width="12.26953125" bestFit="1" customWidth="1" min="22" max="23"/>
    <col width="15.453125" bestFit="1" customWidth="1" min="24" max="24"/>
    <col width="14" bestFit="1" customWidth="1" min="25" max="25"/>
    <col width="12.81640625" bestFit="1" customWidth="1" min="26" max="26"/>
    <col width="19.26953125" bestFit="1" customWidth="1" min="27" max="27"/>
    <col width="14.54296875" bestFit="1" customWidth="1" min="28" max="28"/>
    <col width="15" bestFit="1" customWidth="1" min="29" max="29"/>
    <col width="14.54296875" bestFit="1" customWidth="1" min="30" max="30"/>
    <col width="15.81640625" bestFit="1" customWidth="1" min="31" max="31"/>
    <col width="10.7265625" bestFit="1" customWidth="1" min="32" max="32"/>
    <col width="10.81640625" bestFit="1" customWidth="1" min="33" max="33"/>
    <col width="20.26953125" bestFit="1" customWidth="1" min="34" max="34"/>
    <col width="13.26953125" bestFit="1" customWidth="1" min="35" max="35"/>
    <col width="12" bestFit="1" customWidth="1" min="36" max="36"/>
    <col width="14" bestFit="1" customWidth="1" min="37" max="37"/>
    <col width="13.26953125" bestFit="1" customWidth="1" min="38" max="38"/>
    <col width="12.54296875" bestFit="1" customWidth="1" min="39" max="39"/>
    <col width="12.453125" bestFit="1" customWidth="1" min="40" max="40"/>
    <col width="13.81640625" bestFit="1" customWidth="1" min="41" max="41"/>
    <col width="15.54296875" bestFit="1" customWidth="1" min="42" max="42"/>
    <col width="12.81640625" bestFit="1" customWidth="1" min="43" max="43"/>
    <col width="9.453125" bestFit="1" customWidth="1" min="44" max="44"/>
    <col width="10" bestFit="1" customWidth="1" min="45" max="45"/>
    <col width="8.453125" bestFit="1" customWidth="1" min="46" max="46"/>
    <col width="10.7265625" bestFit="1" customWidth="1" min="47" max="47"/>
    <col width="11.7265625" bestFit="1" customWidth="1" min="48" max="48"/>
    <col width="9.7265625" bestFit="1" customWidth="1" min="49" max="49"/>
    <col width="7.1796875" bestFit="1" customWidth="1" min="50" max="50"/>
    <col width="10.81640625" bestFit="1" customWidth="1" min="51" max="51"/>
    <col width="21.453125" bestFit="1" customWidth="1" min="52" max="52"/>
    <col width="10.453125" bestFit="1" customWidth="1" min="53" max="53"/>
    <col width="9.81640625" bestFit="1" customWidth="1" min="54" max="54"/>
    <col width="24.81640625" bestFit="1" customWidth="1" min="55" max="55"/>
    <col width="22.7265625" bestFit="1" customWidth="1" min="56" max="56"/>
    <col width="27.453125" bestFit="1" customWidth="1" min="57" max="57"/>
    <col width="28.1796875" bestFit="1" customWidth="1" min="58" max="58"/>
    <col width="15.7265625" bestFit="1" customWidth="1" min="59" max="59"/>
    <col width="19.1796875" bestFit="1" customWidth="1" min="60" max="60"/>
    <col width="9.26953125" bestFit="1" customWidth="1" min="61" max="61"/>
    <col width="21.81640625" bestFit="1" customWidth="1" min="62" max="62"/>
    <col width="11.453125" bestFit="1" customWidth="1" min="63" max="63"/>
    <col width="15.453125" bestFit="1" customWidth="1" min="64" max="64"/>
    <col width="14.81640625" bestFit="1" customWidth="1" min="65" max="65"/>
    <col width="15" bestFit="1" customWidth="1" min="66" max="66"/>
    <col width="16.81640625" bestFit="1" customWidth="1" min="67" max="67"/>
    <col width="42.1796875" bestFit="1" customWidth="1" min="68" max="68"/>
    <col width="11.26953125" bestFit="1" customWidth="1" min="69" max="69"/>
    <col width="17.54296875" bestFit="1" customWidth="1" min="70" max="70"/>
    <col width="18.81640625" bestFit="1" customWidth="1" min="71" max="71"/>
    <col width="11.453125" bestFit="1" customWidth="1" min="72" max="72"/>
    <col width="14.1796875" bestFit="1" customWidth="1" min="73" max="73"/>
    <col width="26.26953125" bestFit="1" customWidth="1" min="74" max="74"/>
    <col width="15" bestFit="1" customWidth="1" min="75" max="75"/>
    <col width="15.453125" bestFit="1" customWidth="1" min="76" max="76"/>
    <col width="25.54296875" bestFit="1" customWidth="1" min="77" max="77"/>
    <col width="13.26953125" bestFit="1" customWidth="1" min="78" max="78"/>
    <col width="12.81640625" bestFit="1" customWidth="1" min="79" max="79"/>
    <col width="22.7265625" bestFit="1" customWidth="1" min="80" max="80"/>
    <col width="19.26953125" bestFit="1" customWidth="1" min="81" max="81"/>
    <col width="21.54296875" bestFit="1" customWidth="1" min="82" max="82"/>
    <col width="19" bestFit="1" customWidth="1" min="83" max="83"/>
    <col width="25.7265625" bestFit="1" customWidth="1" min="84" max="84"/>
    <col width="19.81640625" bestFit="1" customWidth="1" min="85" max="85"/>
    <col width="15" bestFit="1" customWidth="1" min="86" max="86"/>
  </cols>
  <sheetData>
    <row r="1">
      <c r="A1" s="1" t="inlineStr">
        <is>
          <t>Report Date</t>
        </is>
      </c>
      <c r="B1" s="1" t="inlineStr">
        <is>
          <t>06/08/2026</t>
        </is>
      </c>
      <c r="T1" s="5">
        <f>SUBTOTAL(9,T3:T1048576)</f>
        <v/>
      </c>
      <c r="AL1" s="4">
        <f>+AL3</f>
        <v/>
      </c>
      <c r="AM1" s="4">
        <f>+AM3</f>
        <v/>
      </c>
    </row>
    <row r="2">
      <c r="A2" s="2" t="inlineStr">
        <is>
          <t>Account</t>
        </is>
      </c>
      <c r="B2" s="2" t="inlineStr">
        <is>
          <t>ID</t>
        </is>
      </c>
      <c r="C2" s="2" t="inlineStr">
        <is>
          <t>Previous Account</t>
        </is>
      </c>
      <c r="D2" s="2" t="inlineStr">
        <is>
          <t>Original Vendor</t>
        </is>
      </c>
      <c r="E2" s="2" t="inlineStr">
        <is>
          <t>Lender Account</t>
        </is>
      </c>
      <c r="F2" s="2" t="inlineStr">
        <is>
          <t>Lender Name</t>
        </is>
      </c>
      <c r="G2" s="2" t="inlineStr">
        <is>
          <t>Lender Ownership Pct</t>
        </is>
      </c>
      <c r="H2" s="2" t="inlineStr">
        <is>
          <t>Lender Funding Date</t>
        </is>
      </c>
      <c r="I2" s="2" t="inlineStr">
        <is>
          <t>Borrower Name</t>
        </is>
      </c>
      <c r="J2" s="2" t="inlineStr">
        <is>
          <t>Borrower Address</t>
        </is>
      </c>
      <c r="K2" s="2" t="inlineStr">
        <is>
          <t>Borrower City</t>
        </is>
      </c>
      <c r="L2" s="2" t="inlineStr">
        <is>
          <t>Borrower State</t>
        </is>
      </c>
      <c r="M2" s="2" t="inlineStr">
        <is>
          <t>Borrower Zip</t>
        </is>
      </c>
      <c r="N2" s="2" t="inlineStr">
        <is>
          <t>Home</t>
        </is>
      </c>
      <c r="O2" s="2" t="inlineStr">
        <is>
          <t>Work</t>
        </is>
      </c>
      <c r="P2" s="2" t="inlineStr">
        <is>
          <t>Mobile</t>
        </is>
      </c>
      <c r="Q2" s="2" t="inlineStr">
        <is>
          <t>Fax</t>
        </is>
      </c>
      <c r="R2" s="2" t="inlineStr">
        <is>
          <t>Original Balance</t>
        </is>
      </c>
      <c r="S2" s="2" t="inlineStr">
        <is>
          <t>Starting Balance</t>
        </is>
      </c>
      <c r="T2" s="2" t="inlineStr">
        <is>
          <t>Current Balance</t>
        </is>
      </c>
      <c r="U2" s="2" t="inlineStr">
        <is>
          <t>Note Rate</t>
        </is>
      </c>
      <c r="V2" s="2" t="inlineStr">
        <is>
          <t>Investor Rate</t>
        </is>
      </c>
      <c r="W2" s="2" t="inlineStr">
        <is>
          <t>Lien Position</t>
        </is>
      </c>
      <c r="X2" s="2" t="inlineStr">
        <is>
          <t>Escrow Payment</t>
        </is>
      </c>
      <c r="Y2" s="2" t="inlineStr">
        <is>
          <t>Suspense Pmt.</t>
        </is>
      </c>
      <c r="Z2" s="2" t="inlineStr">
        <is>
          <t>Loan Charges</t>
        </is>
      </c>
      <c r="AA2" s="2" t="inlineStr">
        <is>
          <t>Unpaid Late Charges</t>
        </is>
      </c>
      <c r="AB2" s="2" t="inlineStr">
        <is>
          <t>Unpaid Interest</t>
        </is>
      </c>
      <c r="AC2" s="2" t="inlineStr">
        <is>
          <t>Sr.Loan Amount</t>
        </is>
      </c>
      <c r="AD2" s="2" t="inlineStr">
        <is>
          <t>Unearned Disc.</t>
        </is>
      </c>
      <c r="AE2" s="2" t="inlineStr">
        <is>
          <t>Regular Payment</t>
        </is>
      </c>
      <c r="AF2" s="2" t="inlineStr">
        <is>
          <t>Status</t>
        </is>
      </c>
      <c r="AG2" s="2" t="inlineStr">
        <is>
          <t>Grace Days</t>
        </is>
      </c>
      <c r="AH2" s="2" t="inlineStr">
        <is>
          <t>Minimum Late Charge</t>
        </is>
      </c>
      <c r="AI2" s="2" t="inlineStr">
        <is>
          <t>Late Charge %</t>
        </is>
      </c>
      <c r="AJ2" s="2" t="inlineStr">
        <is>
          <t>Paid To Date</t>
        </is>
      </c>
      <c r="AK2" s="2" t="inlineStr">
        <is>
          <t>Boarding  Date</t>
        </is>
      </c>
      <c r="AL2" s="2" t="inlineStr">
        <is>
          <t>Next Due Date</t>
        </is>
      </c>
      <c r="AM2" s="2" t="inlineStr">
        <is>
          <t>Maturity Date</t>
        </is>
      </c>
      <c r="AN2" s="2" t="inlineStr">
        <is>
          <t>Paid Off Date</t>
        </is>
      </c>
      <c r="AO2" s="2" t="inlineStr">
        <is>
          <t>Purchase Date</t>
        </is>
      </c>
      <c r="AP2" s="2" t="inlineStr">
        <is>
          <t>Origination Date</t>
        </is>
      </c>
      <c r="AQ2" s="2" t="inlineStr">
        <is>
          <t>Prop.Address</t>
        </is>
      </c>
      <c r="AR2" s="2" t="inlineStr">
        <is>
          <t>Prop.City</t>
        </is>
      </c>
      <c r="AS2" s="2" t="inlineStr">
        <is>
          <t>Prop.State</t>
        </is>
      </c>
      <c r="AT2" s="2" t="inlineStr">
        <is>
          <t>Prop.Zip</t>
        </is>
      </c>
      <c r="AU2" s="2" t="inlineStr">
        <is>
          <t>Appr.Value</t>
        </is>
      </c>
      <c r="AV2" s="2" t="inlineStr">
        <is>
          <t>Appr.Source</t>
        </is>
      </c>
      <c r="AW2" s="2" t="inlineStr">
        <is>
          <t>Appr.Date</t>
        </is>
      </c>
      <c r="AX2" s="2" t="inlineStr">
        <is>
          <t>LTV</t>
        </is>
      </c>
      <c r="AY2" s="2" t="inlineStr">
        <is>
          <t>Occupancy</t>
        </is>
      </c>
      <c r="AZ2" s="2" t="inlineStr">
        <is>
          <t>Prop.Type</t>
        </is>
      </c>
      <c r="BA2" s="2" t="inlineStr">
        <is>
          <t>ACH status</t>
        </is>
      </c>
      <c r="BB2" s="2" t="inlineStr">
        <is>
          <t>Rate Type</t>
        </is>
      </c>
      <c r="BC2" s="2" t="inlineStr">
        <is>
          <t>Deferred Principal Balance</t>
        </is>
      </c>
      <c r="BD2" s="2" t="inlineStr">
        <is>
          <t>Deferred Unpaid Interest</t>
        </is>
      </c>
      <c r="BE2" s="2" t="inlineStr">
        <is>
          <t>Deferred Unpaid Late Charges</t>
        </is>
      </c>
      <c r="BF2" s="2" t="inlineStr">
        <is>
          <t>Deferred Unpaid Loan Charges</t>
        </is>
      </c>
      <c r="BG2" s="2" t="inlineStr">
        <is>
          <t>Primary Purpose</t>
        </is>
      </c>
      <c r="BH2" s="2" t="inlineStr">
        <is>
          <t>Invest Asset Number</t>
        </is>
      </c>
      <c r="BI2" s="2" t="inlineStr">
        <is>
          <t>Days Late</t>
        </is>
      </c>
      <c r="BJ2" s="2" t="inlineStr">
        <is>
          <t>Loan Type</t>
        </is>
      </c>
      <c r="BK2" s="2" t="inlineStr">
        <is>
          <t>Draw Status</t>
        </is>
      </c>
      <c r="BL2" s="2" t="inlineStr">
        <is>
          <t>Draw Close Date</t>
        </is>
      </c>
      <c r="BM2" s="2" t="inlineStr">
        <is>
          <t>Maximum Draw</t>
        </is>
      </c>
      <c r="BN2" s="2" t="inlineStr">
        <is>
          <t>Funded Amount</t>
        </is>
      </c>
      <c r="BO2" s="2" t="inlineStr">
        <is>
          <t>Available Balance</t>
        </is>
      </c>
      <c r="BP2" s="2" t="inlineStr">
        <is>
          <t>Borrower Full Name</t>
        </is>
      </c>
      <c r="BQ2" s="2" t="inlineStr">
        <is>
          <t>CoBorrower</t>
        </is>
      </c>
      <c r="BR2" s="2" t="inlineStr">
        <is>
          <t>Restricted Balance</t>
        </is>
      </c>
      <c r="BS2" s="2" t="inlineStr">
        <is>
          <t>Default Interest Rate</t>
        </is>
      </c>
      <c r="BT2" s="2" t="inlineStr">
        <is>
          <t>Closed Date</t>
        </is>
      </c>
      <c r="BU2" s="2" t="inlineStr">
        <is>
          <t>Closed Reason</t>
        </is>
      </c>
      <c r="BV2" s="2" t="inlineStr">
        <is>
          <t>Default Interest Active Status</t>
        </is>
      </c>
      <c r="BW2" s="2" t="inlineStr">
        <is>
          <t>Escrow Balance</t>
        </is>
      </c>
      <c r="BX2" s="2" t="inlineStr">
        <is>
          <t>Reserve Balance</t>
        </is>
      </c>
      <c r="BY2" s="2" t="inlineStr">
        <is>
          <t>Borrower Email</t>
        </is>
      </c>
      <c r="BZ2" s="2" t="inlineStr">
        <is>
          <t>Sec Financing</t>
        </is>
      </c>
      <c r="CA2" s="2" t="inlineStr">
        <is>
          <t>Creation Date</t>
        </is>
      </c>
      <c r="CB2" s="2" t="inlineStr">
        <is>
          <t>Originator Loan Number</t>
        </is>
      </c>
      <c r="CC2" s="2" t="inlineStr">
        <is>
          <t>Borrower First Name</t>
        </is>
      </c>
      <c r="CD2" s="2" t="inlineStr">
        <is>
          <t>Borrower Middle Name</t>
        </is>
      </c>
      <c r="CE2" s="2" t="inlineStr">
        <is>
          <t>Borrower Last Name</t>
        </is>
      </c>
      <c r="CF2" s="2" t="inlineStr">
        <is>
          <t>Prepayment Expiration Date</t>
        </is>
      </c>
      <c r="CG2" s="2" t="inlineStr">
        <is>
          <t>Default Int Is Enabled</t>
        </is>
      </c>
      <c r="CH2" s="2" t="inlineStr">
        <is>
          <t>Other Payments</t>
        </is>
      </c>
    </row>
    <row r="3">
      <c r="A3" t="n">
        <v>399147585</v>
      </c>
      <c r="B3" t="inlineStr">
        <is>
          <t>FCI</t>
        </is>
      </c>
      <c r="C3" t="inlineStr">
        <is>
          <t>04461</t>
        </is>
      </c>
      <c r="D3" t="inlineStr">
        <is>
          <t>5ARCHASSET</t>
        </is>
      </c>
      <c r="E3" t="inlineStr">
        <is>
          <t>14733</t>
        </is>
      </c>
      <c r="F3" t="inlineStr">
        <is>
          <t>Pacific Life Insurance Company (Corevest)</t>
        </is>
      </c>
      <c r="G3" s="3" t="inlineStr">
        <is>
          <t>100.000%</t>
        </is>
      </c>
      <c r="H3" s="4" t="n">
        <v>42887</v>
      </c>
      <c r="I3" t="inlineStr">
        <is>
          <t>R&amp;M Commercial Real Estate, LLC
Ron Jackson</t>
        </is>
      </c>
      <c r="J3" t="inlineStr">
        <is>
          <t>335 Fields Drive</t>
        </is>
      </c>
      <c r="K3" t="inlineStr">
        <is>
          <t>Aberdeen</t>
        </is>
      </c>
      <c r="L3" t="inlineStr">
        <is>
          <t>NC</t>
        </is>
      </c>
      <c r="M3" t="inlineStr">
        <is>
          <t>28315</t>
        </is>
      </c>
      <c r="N3" t="inlineStr">
        <is>
          <t>(910)944-7453</t>
        </is>
      </c>
      <c r="O3" t="inlineStr">
        <is>
          <t>(317)710-0126</t>
        </is>
      </c>
      <c r="P3" t="inlineStr">
        <is>
          <t>(910)691-5907;(910)215-3841</t>
        </is>
      </c>
      <c r="Q3" t="inlineStr"/>
      <c r="R3" s="5" t="n">
        <v>653300</v>
      </c>
      <c r="S3" s="5" t="n">
        <v>653300</v>
      </c>
      <c r="T3" s="5" t="n">
        <v>558948.25</v>
      </c>
      <c r="U3" s="6" t="inlineStr">
        <is>
          <t>6.25000%</t>
        </is>
      </c>
      <c r="V3" s="6" t="inlineStr">
        <is>
          <t>6.00000%</t>
        </is>
      </c>
      <c r="W3" t="inlineStr">
        <is>
          <t>1st</t>
        </is>
      </c>
      <c r="X3" s="5" t="n">
        <v>0</v>
      </c>
      <c r="Y3" s="5" t="n">
        <v>0</v>
      </c>
      <c r="Z3" s="5" t="n">
        <v>25</v>
      </c>
      <c r="AA3" s="5" t="n">
        <v>402.25</v>
      </c>
      <c r="AB3" s="5" t="n">
        <v>0</v>
      </c>
      <c r="AC3" t="inlineStr"/>
      <c r="AD3" s="5" t="n">
        <v>0</v>
      </c>
      <c r="AE3" s="5" t="n">
        <v>4022.48</v>
      </c>
      <c r="AF3" t="inlineStr">
        <is>
          <t>Performing</t>
        </is>
      </c>
      <c r="AG3" t="n">
        <v>5</v>
      </c>
      <c r="AH3" s="5" t="n">
        <v>0</v>
      </c>
      <c r="AI3" s="3" t="inlineStr">
        <is>
          <t>10.000%</t>
        </is>
      </c>
      <c r="AJ3" s="4" t="n">
        <v>46174</v>
      </c>
      <c r="AK3" s="4" t="n">
        <v>42831</v>
      </c>
      <c r="AL3" s="4" t="n">
        <v>46204</v>
      </c>
      <c r="AM3" s="4" t="n">
        <v>46478</v>
      </c>
      <c r="AP3" s="4" t="n">
        <v>42825</v>
      </c>
      <c r="AQ3" t="inlineStr">
        <is>
          <t>5 Vail Place</t>
        </is>
      </c>
      <c r="AR3" t="inlineStr">
        <is>
          <t>Pinehurst</t>
        </is>
      </c>
      <c r="AS3" t="inlineStr">
        <is>
          <t>NC</t>
        </is>
      </c>
      <c r="AT3" t="inlineStr">
        <is>
          <t>28374</t>
        </is>
      </c>
      <c r="AU3" s="5" t="n">
        <v>0</v>
      </c>
      <c r="AV3" t="inlineStr"/>
      <c r="AX3" s="3" t="inlineStr">
        <is>
          <t>31.130%</t>
        </is>
      </c>
      <c r="AY3" t="inlineStr">
        <is>
          <t>Vacant</t>
        </is>
      </c>
      <c r="AZ3" t="inlineStr">
        <is>
          <t>Residential Income 1-4</t>
        </is>
      </c>
      <c r="BA3" t="inlineStr">
        <is>
          <t>Active</t>
        </is>
      </c>
      <c r="BB3" t="inlineStr">
        <is>
          <t>Fixed Rate</t>
        </is>
      </c>
      <c r="BC3" s="5" t="n">
        <v>0</v>
      </c>
      <c r="BD3" s="5" t="n">
        <v>0</v>
      </c>
      <c r="BE3" s="5" t="n">
        <v>0</v>
      </c>
      <c r="BF3" s="5" t="n">
        <v>0</v>
      </c>
      <c r="BG3" t="inlineStr">
        <is>
          <t>Business</t>
        </is>
      </c>
      <c r="BH3" t="inlineStr">
        <is>
          <t>04461</t>
        </is>
      </c>
      <c r="BI3" t="n">
        <v>0</v>
      </c>
      <c r="BJ3" t="inlineStr">
        <is>
          <t>Business Purpose Loan</t>
        </is>
      </c>
      <c r="BM3" s="5" t="n">
        <v>0</v>
      </c>
      <c r="BN3" s="5" t="n">
        <v>558948.25</v>
      </c>
      <c r="BO3" s="5" t="n">
        <v>0</v>
      </c>
      <c r="BP3" t="inlineStr">
        <is>
          <t>R&amp;M Commercial Real Estate, LLCRon Jackson</t>
        </is>
      </c>
      <c r="BR3" s="5" t="n">
        <v>0</v>
      </c>
      <c r="BS3" s="3" t="n">
        <v>0</v>
      </c>
      <c r="BV3" t="b">
        <v>0</v>
      </c>
      <c r="BW3" s="5" t="n">
        <v>0</v>
      </c>
      <c r="BX3" s="5" t="n">
        <v>0</v>
      </c>
      <c r="BY3" t="inlineStr">
        <is>
          <t>qualitybuilt1@hotmail.com</t>
        </is>
      </c>
      <c r="CA3" s="4" t="n">
        <v>42831.46254070602</v>
      </c>
      <c r="CC3" t="inlineStr"/>
      <c r="CD3" t="inlineStr"/>
      <c r="CE3" t="inlineStr"/>
      <c r="CG3" t="b">
        <v>0</v>
      </c>
      <c r="CH3" s="5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13.26953125" bestFit="1" customWidth="1" min="2" max="2"/>
    <col width="39.26953125" customWidth="1" min="3" max="3"/>
  </cols>
  <sheetData>
    <row r="2">
      <c r="B2" s="7" t="inlineStr">
        <is>
          <t>SSP Pool</t>
        </is>
      </c>
    </row>
    <row r="4">
      <c r="B4" s="8" t="inlineStr">
        <is>
          <t>Deal No.</t>
        </is>
      </c>
      <c r="C4" s="8" t="inlineStr">
        <is>
          <t>Deal Name</t>
        </is>
      </c>
    </row>
    <row r="5">
      <c r="B5" s="9" t="n">
        <v>39268</v>
      </c>
      <c r="C5" s="9" t="inlineStr">
        <is>
          <t>The Conservancy BTR</t>
        </is>
      </c>
    </row>
    <row r="6">
      <c r="B6" s="9" t="n">
        <v>40791</v>
      </c>
      <c r="C6" s="9" t="inlineStr">
        <is>
          <t>Moda Yorkville Townhomes</t>
        </is>
      </c>
    </row>
    <row r="7">
      <c r="B7" s="9" t="n">
        <v>43229</v>
      </c>
      <c r="C7" s="9" t="inlineStr">
        <is>
          <t>JCF Huntsville 2 - 2022 Refinance</t>
        </is>
      </c>
    </row>
    <row r="8">
      <c r="B8" s="9" t="n">
        <v>30518</v>
      </c>
      <c r="C8" s="9" t="inlineStr">
        <is>
          <t>JCF Lebanon, LLC</t>
        </is>
      </c>
    </row>
    <row r="9">
      <c r="B9" s="9" t="n">
        <v>37572</v>
      </c>
      <c r="C9" s="9" t="inlineStr">
        <is>
          <t>Florio 3000 Ember MF</t>
        </is>
      </c>
    </row>
    <row r="10">
      <c r="B10" s="9" t="n">
        <v>41482</v>
      </c>
      <c r="C10" s="9" t="inlineStr">
        <is>
          <t>The Wilcox</t>
        </is>
      </c>
    </row>
    <row r="11">
      <c r="B11" s="9" t="n">
        <v>34430</v>
      </c>
      <c r="C11" s="9" t="inlineStr">
        <is>
          <t>Antioch (The Clublands)</t>
        </is>
      </c>
    </row>
    <row r="12">
      <c r="B12" s="9" t="n">
        <v>41483</v>
      </c>
      <c r="C12" s="9" t="inlineStr">
        <is>
          <t>The Morgan</t>
        </is>
      </c>
    </row>
    <row r="13">
      <c r="B13" s="9" t="n">
        <v>42814</v>
      </c>
      <c r="C13" s="9" t="inlineStr">
        <is>
          <t>Eagles Landing</t>
        </is>
      </c>
    </row>
    <row r="14">
      <c r="B14" s="9" t="n">
        <v>38720</v>
      </c>
      <c r="C14" s="9" t="inlineStr">
        <is>
          <t>The View ABQ</t>
        </is>
      </c>
    </row>
    <row r="15">
      <c r="B15" s="9" t="n">
        <v>38524</v>
      </c>
      <c r="C15" s="9" t="inlineStr">
        <is>
          <t>Cottages at Braselton - 2022</t>
        </is>
      </c>
    </row>
    <row r="16">
      <c r="B16" s="9" t="n">
        <v>43438</v>
      </c>
      <c r="C16" s="9" t="inlineStr">
        <is>
          <t>Second City Rentals LOC 2</t>
        </is>
      </c>
    </row>
    <row r="17">
      <c r="B17" s="9" t="n">
        <v>45202</v>
      </c>
      <c r="C17" s="9" t="inlineStr">
        <is>
          <t>Prominence BTR 4</t>
        </is>
      </c>
    </row>
    <row r="18">
      <c r="B18" s="9" t="n">
        <v>41867</v>
      </c>
      <c r="C18" s="9" t="inlineStr">
        <is>
          <t>Boston Woods</t>
        </is>
      </c>
    </row>
    <row r="19">
      <c r="B19" s="9" t="n">
        <v>40576</v>
      </c>
      <c r="C19" s="9" t="inlineStr">
        <is>
          <t>Urban Communities Detroit Multis - LOC</t>
        </is>
      </c>
    </row>
    <row r="20">
      <c r="B20" s="9" t="n">
        <v>40021</v>
      </c>
      <c r="C20" s="9" t="inlineStr">
        <is>
          <t>Viking Mill</t>
        </is>
      </c>
    </row>
    <row r="21">
      <c r="B21" s="9" t="n">
        <v>39712</v>
      </c>
      <c r="C21" s="9" t="inlineStr">
        <is>
          <t>Florio 925 Conley MF</t>
        </is>
      </c>
    </row>
    <row r="22">
      <c r="B22" s="9" t="n">
        <v>41195</v>
      </c>
      <c r="C22" s="9" t="inlineStr">
        <is>
          <t>Antigua Village CLO</t>
        </is>
      </c>
    </row>
    <row r="23">
      <c r="B23" s="9" t="n">
        <v>39295</v>
      </c>
      <c r="C23" s="9" t="inlineStr">
        <is>
          <t>Onslow - Town Center Apts</t>
        </is>
      </c>
    </row>
    <row r="24">
      <c r="B24" s="9" t="n">
        <v>39711</v>
      </c>
      <c r="C24" s="9" t="inlineStr">
        <is>
          <t>Florio 875 Conley MF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5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4.5"/>
  <cols>
    <col width="17.453125" bestFit="1" customWidth="1" min="2" max="2"/>
    <col width="57.26953125" bestFit="1" customWidth="1" min="3" max="3"/>
    <col width="16.7265625" bestFit="1" customWidth="1" min="4" max="4"/>
    <col width="17.453125" bestFit="1" customWidth="1" min="7" max="7"/>
    <col width="34.1796875" bestFit="1" customWidth="1" min="8" max="8"/>
    <col width="16.453125" bestFit="1" customWidth="1" min="9" max="9"/>
  </cols>
  <sheetData>
    <row r="2">
      <c r="B2" s="7" t="inlineStr">
        <is>
          <t>Legacy Bridge - 9/30</t>
        </is>
      </c>
      <c r="G2" s="7" t="inlineStr">
        <is>
          <t>Legacy Term - 9/30</t>
        </is>
      </c>
    </row>
    <row r="3">
      <c r="B3" t="inlineStr">
        <is>
          <t>09302025 RWT Bridge Tape - 10.17.25 v1</t>
        </is>
      </c>
      <c r="G3">
        <f>+B3</f>
        <v/>
      </c>
    </row>
    <row r="5">
      <c r="B5" s="8" t="inlineStr">
        <is>
          <t>Deal Number</t>
        </is>
      </c>
      <c r="C5" s="8" t="inlineStr">
        <is>
          <t>Deal Name</t>
        </is>
      </c>
      <c r="D5" s="8" t="inlineStr">
        <is>
          <t>Q3 Segment</t>
        </is>
      </c>
      <c r="G5" s="8" t="inlineStr">
        <is>
          <t>Deal Number</t>
        </is>
      </c>
      <c r="H5" s="8" t="inlineStr">
        <is>
          <t>Deal Name</t>
        </is>
      </c>
      <c r="I5" s="8" t="inlineStr">
        <is>
          <t>Q3 Segment</t>
        </is>
      </c>
    </row>
    <row r="6">
      <c r="B6" s="9" t="n">
        <v>39499</v>
      </c>
      <c r="C6" s="9" t="inlineStr">
        <is>
          <t>AB Asset Management Louisiana CRE Portfolio</t>
        </is>
      </c>
      <c r="D6" s="9" t="inlineStr">
        <is>
          <t>Legacy</t>
        </is>
      </c>
      <c r="G6" s="9" t="n">
        <v>41494</v>
      </c>
      <c r="H6" s="9" t="inlineStr">
        <is>
          <t>Wieder BR 1</t>
        </is>
      </c>
      <c r="I6" s="9" t="inlineStr">
        <is>
          <t>Legacy</t>
        </is>
      </c>
    </row>
    <row r="7">
      <c r="B7" s="9" t="n">
        <v>39318</v>
      </c>
      <c r="C7" s="9" t="inlineStr">
        <is>
          <t>The Village at Kensington</t>
        </is>
      </c>
      <c r="D7" s="9" t="inlineStr">
        <is>
          <t>Legacy</t>
        </is>
      </c>
      <c r="G7" s="9" t="n">
        <v>48487</v>
      </c>
      <c r="H7" s="9" t="inlineStr">
        <is>
          <t>Bonner MA II</t>
        </is>
      </c>
      <c r="I7" s="9" t="inlineStr">
        <is>
          <t>Legacy</t>
        </is>
      </c>
    </row>
    <row r="8">
      <c r="B8" s="9" t="n">
        <v>40113</v>
      </c>
      <c r="C8" s="9" t="inlineStr">
        <is>
          <t>Midwest Portfolio - OH</t>
        </is>
      </c>
      <c r="D8" s="9" t="inlineStr">
        <is>
          <t>Legacy</t>
        </is>
      </c>
      <c r="G8" s="9" t="n">
        <v>44177</v>
      </c>
      <c r="H8" s="9" t="inlineStr">
        <is>
          <t>Razjooyan DC 7 (2844 Langston Pl SE)</t>
        </is>
      </c>
      <c r="I8" s="9" t="inlineStr">
        <is>
          <t>Legacy</t>
        </is>
      </c>
    </row>
    <row r="9">
      <c r="B9" s="9" t="n">
        <v>39584</v>
      </c>
      <c r="C9" s="9" t="inlineStr">
        <is>
          <t>The Jolie</t>
        </is>
      </c>
      <c r="D9" s="9" t="inlineStr">
        <is>
          <t>Legacy</t>
        </is>
      </c>
      <c r="G9" s="9" t="n">
        <v>20739</v>
      </c>
      <c r="H9" s="9" t="inlineStr">
        <is>
          <t>John Bailey WV</t>
        </is>
      </c>
      <c r="I9" s="9" t="inlineStr">
        <is>
          <t>Legacy</t>
        </is>
      </c>
    </row>
    <row r="10">
      <c r="B10" s="9" t="n">
        <v>39894</v>
      </c>
      <c r="C10" s="9" t="inlineStr">
        <is>
          <t>32 India St</t>
        </is>
      </c>
      <c r="D10" s="9" t="inlineStr">
        <is>
          <t>Legacy</t>
        </is>
      </c>
      <c r="G10" s="9" t="n">
        <v>20747</v>
      </c>
      <c r="H10" s="9" t="inlineStr">
        <is>
          <t>Equity Build 3</t>
        </is>
      </c>
      <c r="I10" s="9" t="inlineStr">
        <is>
          <t>Legacy</t>
        </is>
      </c>
    </row>
    <row r="11">
      <c r="B11" s="9" t="n">
        <v>47079</v>
      </c>
      <c r="C11" s="9" t="inlineStr">
        <is>
          <t>Bungalows on Village Way 2023</t>
        </is>
      </c>
      <c r="D11" s="9" t="inlineStr">
        <is>
          <t>Legacy</t>
        </is>
      </c>
      <c r="G11" s="9" t="n">
        <v>54426</v>
      </c>
      <c r="H11" s="9" t="inlineStr">
        <is>
          <t>Bonham Capital</t>
        </is>
      </c>
      <c r="I11" s="9" t="inlineStr">
        <is>
          <t>Legacy</t>
        </is>
      </c>
    </row>
    <row r="12">
      <c r="B12" s="9" t="n">
        <v>55629</v>
      </c>
      <c r="C12" s="9" t="inlineStr">
        <is>
          <t>Sutton Fields</t>
        </is>
      </c>
      <c r="D12" s="9" t="inlineStr">
        <is>
          <t>Legacy - Partial</t>
        </is>
      </c>
      <c r="G12" s="9" t="n">
        <v>50841</v>
      </c>
      <c r="H12" s="9" t="inlineStr">
        <is>
          <t>Cohen 1</t>
        </is>
      </c>
      <c r="I12" s="9" t="inlineStr">
        <is>
          <t>Legacy</t>
        </is>
      </c>
    </row>
    <row r="13">
      <c r="B13" s="9" t="n">
        <v>47464</v>
      </c>
      <c r="C13" s="9" t="inlineStr">
        <is>
          <t>Yorkminster 2023</t>
        </is>
      </c>
      <c r="D13" s="9" t="inlineStr">
        <is>
          <t>Legacy</t>
        </is>
      </c>
      <c r="G13" s="9" t="n">
        <v>43422</v>
      </c>
      <c r="H13" s="9" t="inlineStr">
        <is>
          <t>Vision &amp; Beyond 1</t>
        </is>
      </c>
      <c r="I13" s="9" t="inlineStr">
        <is>
          <t>Legacy</t>
        </is>
      </c>
    </row>
    <row r="14">
      <c r="B14" s="9" t="n">
        <v>41448</v>
      </c>
      <c r="C14" s="9" t="inlineStr">
        <is>
          <t>London Square &amp; River Glen</t>
        </is>
      </c>
      <c r="D14" s="9" t="inlineStr">
        <is>
          <t>Legacy</t>
        </is>
      </c>
      <c r="G14" s="9" t="n">
        <v>43462</v>
      </c>
      <c r="H14" s="9" t="inlineStr">
        <is>
          <t>Vision &amp; Beyond 2</t>
        </is>
      </c>
      <c r="I14" s="9" t="inlineStr">
        <is>
          <t>Legacy</t>
        </is>
      </c>
    </row>
    <row r="15">
      <c r="B15" s="9" t="n">
        <v>40945</v>
      </c>
      <c r="C15" s="9" t="inlineStr">
        <is>
          <t>Balfour Chamblee</t>
        </is>
      </c>
      <c r="D15" s="9" t="inlineStr">
        <is>
          <t>Paid Off</t>
        </is>
      </c>
      <c r="G15" s="9" t="n"/>
      <c r="H15" s="9" t="n"/>
      <c r="I15" s="9" t="n"/>
    </row>
    <row r="16">
      <c r="B16" s="9" t="n">
        <v>32506</v>
      </c>
      <c r="C16" s="9" t="inlineStr">
        <is>
          <t>Falcon Conley CV20 LLC (Florio Conley)</t>
        </is>
      </c>
      <c r="D16" s="9" t="inlineStr">
        <is>
          <t>Legacy</t>
        </is>
      </c>
    </row>
    <row r="17">
      <c r="B17" s="9" t="n">
        <v>33732</v>
      </c>
      <c r="C17" s="9" t="inlineStr">
        <is>
          <t>JCF Panama Waterfront, LLC</t>
        </is>
      </c>
      <c r="D17" s="9" t="inlineStr">
        <is>
          <t>Legacy</t>
        </is>
      </c>
    </row>
    <row r="18">
      <c r="B18" s="9" t="n">
        <v>49128</v>
      </c>
      <c r="C18" s="9" t="inlineStr">
        <is>
          <t>McKinley Homes</t>
        </is>
      </c>
      <c r="D18" s="9" t="inlineStr">
        <is>
          <t>Legacy</t>
        </is>
      </c>
    </row>
    <row r="19">
      <c r="B19" s="9" t="n">
        <v>57543</v>
      </c>
      <c r="C19" s="9" t="inlineStr">
        <is>
          <t>Ark Homes for Rent (Settlers Preserve) LOC</t>
        </is>
      </c>
      <c r="D19" s="9" t="inlineStr">
        <is>
          <t>Legacy</t>
        </is>
      </c>
    </row>
    <row r="20">
      <c r="B20" s="9" t="n">
        <v>40915</v>
      </c>
      <c r="C20" s="9" t="inlineStr">
        <is>
          <t>Mittelman Portfolio Baton Rouge</t>
        </is>
      </c>
      <c r="D20" s="9" t="inlineStr">
        <is>
          <t>REO</t>
        </is>
      </c>
    </row>
    <row r="21">
      <c r="B21" s="9" t="n">
        <v>38947</v>
      </c>
      <c r="C21" s="9" t="inlineStr">
        <is>
          <t>TCY Capital Baton Rouge</t>
        </is>
      </c>
      <c r="D21" s="9" t="inlineStr">
        <is>
          <t>Legacy</t>
        </is>
      </c>
    </row>
    <row r="22">
      <c r="B22" s="9" t="n">
        <v>41475</v>
      </c>
      <c r="C22" s="9" t="inlineStr">
        <is>
          <t>Polaris at East Point</t>
        </is>
      </c>
      <c r="D22" s="9" t="inlineStr">
        <is>
          <t>REO</t>
        </is>
      </c>
    </row>
    <row r="23">
      <c r="B23" s="9" t="n">
        <v>33735</v>
      </c>
      <c r="C23" s="9" t="inlineStr">
        <is>
          <t>JCF Panama Clara, LLC</t>
        </is>
      </c>
      <c r="D23" s="9" t="inlineStr">
        <is>
          <t>Legacy</t>
        </is>
      </c>
    </row>
    <row r="24">
      <c r="B24" s="9" t="n">
        <v>40923</v>
      </c>
      <c r="C24" s="9" t="inlineStr">
        <is>
          <t>Florio Mayson Turner MF</t>
        </is>
      </c>
      <c r="D24" s="9" t="inlineStr">
        <is>
          <t>REO</t>
        </is>
      </c>
    </row>
    <row r="25">
      <c r="B25" s="9" t="n">
        <v>54718</v>
      </c>
      <c r="C25" s="9" t="inlineStr">
        <is>
          <t>Eden Hill Development Refi Renewal</t>
        </is>
      </c>
      <c r="D25" s="9" t="inlineStr">
        <is>
          <t>Legacy</t>
        </is>
      </c>
    </row>
    <row r="26">
      <c r="B26" s="9" t="n">
        <v>56309</v>
      </c>
      <c r="C26" s="9" t="inlineStr">
        <is>
          <t>River View at Bexley</t>
        </is>
      </c>
      <c r="D26" s="9" t="inlineStr">
        <is>
          <t>Securitized Bridge</t>
        </is>
      </c>
    </row>
    <row r="27">
      <c r="B27" s="9" t="n">
        <v>38964</v>
      </c>
      <c r="C27" s="9" t="inlineStr">
        <is>
          <t>707 West Commerce</t>
        </is>
      </c>
      <c r="D27" s="9" t="inlineStr">
        <is>
          <t>REO</t>
        </is>
      </c>
    </row>
    <row r="28">
      <c r="B28" s="9" t="n">
        <v>56109</v>
      </c>
      <c r="C28" s="9" t="inlineStr">
        <is>
          <t>Sandrock Gardens</t>
        </is>
      </c>
      <c r="D28" s="9" t="inlineStr">
        <is>
          <t>Legacy - Partial</t>
        </is>
      </c>
    </row>
    <row r="29">
      <c r="B29" s="9" t="n">
        <v>37509</v>
      </c>
      <c r="C29" s="9" t="inlineStr">
        <is>
          <t>Florio 204-210 Graham MF</t>
        </is>
      </c>
      <c r="D29" s="9" t="inlineStr">
        <is>
          <t>Legacy</t>
        </is>
      </c>
    </row>
    <row r="30">
      <c r="B30" s="9" t="n">
        <v>38528</v>
      </c>
      <c r="C30" s="9" t="inlineStr">
        <is>
          <t>Florio 362-366 Hamilton MF</t>
        </is>
      </c>
      <c r="D30" s="9" t="inlineStr">
        <is>
          <t>Legacy</t>
        </is>
      </c>
    </row>
    <row r="31">
      <c r="B31" s="9" t="n">
        <v>37733</v>
      </c>
      <c r="C31" s="9" t="inlineStr">
        <is>
          <t>Prominence BTR 3</t>
        </is>
      </c>
      <c r="D31" s="9" t="inlineStr">
        <is>
          <t>Paid Off</t>
        </is>
      </c>
    </row>
    <row r="32">
      <c r="B32" s="9" t="n">
        <v>37535</v>
      </c>
      <c r="C32" s="9" t="inlineStr">
        <is>
          <t>Florio 94-96 16th MF</t>
        </is>
      </c>
      <c r="D32" s="9" t="inlineStr">
        <is>
          <t>Legacy</t>
        </is>
      </c>
    </row>
    <row r="33">
      <c r="B33" s="9" t="n">
        <v>38304</v>
      </c>
      <c r="C33" s="9" t="inlineStr">
        <is>
          <t>Florio 198-200 Harrison MF</t>
        </is>
      </c>
      <c r="D33" s="9" t="inlineStr">
        <is>
          <t>Legacy</t>
        </is>
      </c>
    </row>
    <row r="34">
      <c r="B34" s="9" t="n">
        <v>57973</v>
      </c>
      <c r="C34" s="9" t="inlineStr">
        <is>
          <t>Wan Bridge LOC 2025 II</t>
        </is>
      </c>
      <c r="D34" s="9" t="inlineStr">
        <is>
          <t>Legacy</t>
        </is>
      </c>
    </row>
    <row r="35">
      <c r="B35" s="9" t="n">
        <v>40771</v>
      </c>
      <c r="C35" s="9" t="inlineStr">
        <is>
          <t>Midwest Portfolio - IN</t>
        </is>
      </c>
      <c r="D35" s="9" t="inlineStr">
        <is>
          <t>Legacy</t>
        </is>
      </c>
    </row>
    <row r="36">
      <c r="B36" s="9" t="inlineStr">
        <is>
          <t>5A-11833</t>
        </is>
      </c>
      <c r="C36" s="9" t="inlineStr">
        <is>
          <t>CAPITAL HOMES INVESTMENTS LLC</t>
        </is>
      </c>
      <c r="D36" s="9" t="inlineStr">
        <is>
          <t>Legacy</t>
        </is>
      </c>
    </row>
    <row r="37">
      <c r="B37" s="9" t="n">
        <v>41874</v>
      </c>
      <c r="C37" s="9" t="inlineStr">
        <is>
          <t>Stanley Wellington Bridge</t>
        </is>
      </c>
      <c r="D37" s="9" t="inlineStr">
        <is>
          <t>Paid Off</t>
        </is>
      </c>
    </row>
    <row r="38">
      <c r="B38" s="9" t="n">
        <v>39386</v>
      </c>
      <c r="C38" s="9" t="inlineStr">
        <is>
          <t>Florio 8-10 Godwin MF</t>
        </is>
      </c>
      <c r="D38" s="9" t="inlineStr">
        <is>
          <t>Legacy</t>
        </is>
      </c>
    </row>
    <row r="39">
      <c r="B39" s="9" t="n">
        <v>40426</v>
      </c>
      <c r="C39" s="9" t="inlineStr">
        <is>
          <t>Cornerstone Apartments Louisville</t>
        </is>
      </c>
      <c r="D39" s="9" t="inlineStr">
        <is>
          <t>Paid Off</t>
        </is>
      </c>
    </row>
    <row r="40">
      <c r="B40" s="9" t="inlineStr">
        <is>
          <t>2214-003504</t>
        </is>
      </c>
      <c r="C40" s="9" t="inlineStr">
        <is>
          <t>3651 Alta Mesa Drive</t>
        </is>
      </c>
      <c r="D40" s="9" t="inlineStr">
        <is>
          <t>Paid Off</t>
        </is>
      </c>
    </row>
    <row r="41">
      <c r="B41" s="9" t="n">
        <v>41124</v>
      </c>
      <c r="C41" s="9" t="inlineStr">
        <is>
          <t>Florio 212-214 12th Ave MF</t>
        </is>
      </c>
      <c r="D41" s="9" t="inlineStr">
        <is>
          <t>Legacy</t>
        </is>
      </c>
    </row>
    <row r="42">
      <c r="B42" s="9" t="n">
        <v>42295</v>
      </c>
      <c r="C42" s="9" t="inlineStr">
        <is>
          <t>4646 Moncrief</t>
        </is>
      </c>
      <c r="D42" s="9" t="inlineStr">
        <is>
          <t>Paid Off</t>
        </is>
      </c>
    </row>
    <row r="43">
      <c r="B43" s="9" t="n">
        <v>39392</v>
      </c>
      <c r="C43" s="9" t="inlineStr">
        <is>
          <t>Florio 21 Godwin MF</t>
        </is>
      </c>
      <c r="D43" s="9" t="inlineStr">
        <is>
          <t>Legacy</t>
        </is>
      </c>
    </row>
    <row r="44">
      <c r="B44" s="9" t="n">
        <v>37683</v>
      </c>
      <c r="C44" s="9" t="inlineStr">
        <is>
          <t xml:space="preserve">ALJ Investmentss, Inc. </t>
        </is>
      </c>
      <c r="D44" s="9" t="inlineStr">
        <is>
          <t>Legacy</t>
        </is>
      </c>
    </row>
    <row r="45">
      <c r="B45" s="9" t="n">
        <v>41118</v>
      </c>
      <c r="C45" s="9" t="inlineStr">
        <is>
          <t>Florio 41 Godwin MF</t>
        </is>
      </c>
      <c r="D45" s="9" t="inlineStr">
        <is>
          <t>Legacy</t>
        </is>
      </c>
    </row>
    <row r="46">
      <c r="B46" s="9" t="n">
        <v>39795</v>
      </c>
      <c r="C46" s="9" t="inlineStr">
        <is>
          <t>Indigo 52, LLC</t>
        </is>
      </c>
      <c r="D46" s="9" t="inlineStr">
        <is>
          <t>Legacy</t>
        </is>
      </c>
    </row>
    <row r="47">
      <c r="B47" s="9" t="n">
        <v>37185</v>
      </c>
      <c r="C47" s="9" t="inlineStr">
        <is>
          <t>SAP RE HOLDINGS LLC</t>
        </is>
      </c>
      <c r="D47" s="9" t="inlineStr">
        <is>
          <t>Legacy</t>
        </is>
      </c>
    </row>
    <row r="48">
      <c r="B48" s="9" t="n">
        <v>57646</v>
      </c>
      <c r="C48" s="9" t="inlineStr">
        <is>
          <t>Tides Group I</t>
        </is>
      </c>
      <c r="D48" s="9" t="inlineStr">
        <is>
          <t>Securitized Bridge</t>
        </is>
      </c>
    </row>
    <row r="49">
      <c r="B49" s="9" t="n">
        <v>37682</v>
      </c>
      <c r="C49" s="9" t="inlineStr">
        <is>
          <t>ALJ Portfolio II LLC</t>
        </is>
      </c>
      <c r="D49" s="9" t="inlineStr">
        <is>
          <t>Legacy</t>
        </is>
      </c>
    </row>
    <row r="50">
      <c r="B50" s="9" t="inlineStr">
        <is>
          <t>2340-003726</t>
        </is>
      </c>
      <c r="C50" s="9" t="inlineStr">
        <is>
          <t>2340-003726 - 27 Virginia Ave, 29 Virginia Ave &amp; 31 Virginia Ave</t>
        </is>
      </c>
      <c r="D50" s="9" t="inlineStr">
        <is>
          <t>Legacy</t>
        </is>
      </c>
    </row>
    <row r="51">
      <c r="B51" s="9" t="n">
        <v>37623</v>
      </c>
      <c r="C51" s="9" t="inlineStr">
        <is>
          <t>8200 S Paulina Investment LLC</t>
        </is>
      </c>
      <c r="D51" s="9" t="inlineStr">
        <is>
          <t>REO</t>
        </is>
      </c>
    </row>
    <row r="52">
      <c r="B52" s="9" t="n">
        <v>37628</v>
      </c>
      <c r="C52" s="9" t="inlineStr">
        <is>
          <t>8100 S Paulina Investment LLC</t>
        </is>
      </c>
      <c r="D52" s="9" t="inlineStr">
        <is>
          <t>REO</t>
        </is>
      </c>
    </row>
    <row r="53">
      <c r="B53" s="9" t="n">
        <v>37622</v>
      </c>
      <c r="C53" s="9" t="inlineStr">
        <is>
          <t>7157 S YALE LLC</t>
        </is>
      </c>
      <c r="D53" s="9" t="inlineStr">
        <is>
          <t>REO</t>
        </is>
      </c>
    </row>
    <row r="54">
      <c r="B54" s="9" t="n">
        <v>37626</v>
      </c>
      <c r="C54" s="9" t="inlineStr">
        <is>
          <t>7200 S Vincennes Investment LLC</t>
        </is>
      </c>
      <c r="D54" s="9" t="inlineStr">
        <is>
          <t>REO</t>
        </is>
      </c>
    </row>
    <row r="55">
      <c r="B55" s="9" t="n">
        <v>37733</v>
      </c>
      <c r="C55" s="9" t="inlineStr">
        <is>
          <t>Prominence BTR 3</t>
        </is>
      </c>
      <c r="D55" s="9" t="inlineStr">
        <is>
          <t>Paid Off</t>
        </is>
      </c>
    </row>
    <row r="56">
      <c r="B56" s="9" t="n">
        <v>56454</v>
      </c>
      <c r="C56" s="9" t="inlineStr">
        <is>
          <t>Sherry Li LOC 5</t>
        </is>
      </c>
      <c r="D56" s="9" t="inlineStr">
        <is>
          <t>Securitized Bridge</t>
        </is>
      </c>
    </row>
    <row r="57">
      <c r="B57" s="9" t="n">
        <v>25367</v>
      </c>
      <c r="C57" s="9" t="inlineStr">
        <is>
          <t>LEXINGTON EQUITIES LLC, a Delaware limited liability company</t>
        </is>
      </c>
      <c r="D57" s="9" t="inlineStr">
        <is>
          <t>Paid Off</t>
        </is>
      </c>
    </row>
    <row r="58">
      <c r="B58" s="9" t="inlineStr">
        <is>
          <t>2071-003145</t>
        </is>
      </c>
      <c r="C58" s="9" t="inlineStr">
        <is>
          <t>97 Appletree Dr</t>
        </is>
      </c>
      <c r="D58" s="9" t="inlineStr">
        <is>
          <t>Legacy</t>
        </is>
      </c>
    </row>
    <row r="59">
      <c r="B59" s="9" t="n">
        <v>53344</v>
      </c>
      <c r="C59" s="9" t="inlineStr">
        <is>
          <t>Smartland Aggregation LOC</t>
        </is>
      </c>
      <c r="D59" s="9" t="inlineStr">
        <is>
          <t>Securitized Bridge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35.7265625" customWidth="1" min="2" max="2"/>
    <col width="29.26953125" customWidth="1" min="3" max="3"/>
    <col width="21" bestFit="1" customWidth="1" min="6" max="6"/>
  </cols>
  <sheetData>
    <row r="2">
      <c r="B2" s="7" t="inlineStr">
        <is>
          <t>Project Strategy Groupings</t>
        </is>
      </c>
      <c r="F2" s="7" t="inlineStr">
        <is>
          <t>Special Asset Officers</t>
        </is>
      </c>
    </row>
    <row r="4">
      <c r="B4" s="7" t="inlineStr">
        <is>
          <t>Strategy</t>
        </is>
      </c>
      <c r="C4" s="7" t="inlineStr">
        <is>
          <t>Grouping</t>
        </is>
      </c>
      <c r="F4" s="7" t="inlineStr">
        <is>
          <t>Asset Manager 1</t>
        </is>
      </c>
      <c r="G4" s="7" t="inlineStr">
        <is>
          <t>Y</t>
        </is>
      </c>
    </row>
    <row r="5">
      <c r="B5" t="inlineStr">
        <is>
          <t>Renovate and Rent</t>
        </is>
      </c>
      <c r="C5" t="inlineStr">
        <is>
          <t>Renovate / Build to Rent</t>
        </is>
      </c>
      <c r="F5" t="inlineStr">
        <is>
          <t>Natasha Sango</t>
        </is>
      </c>
      <c r="G5" t="inlineStr">
        <is>
          <t>Y</t>
        </is>
      </c>
    </row>
    <row r="6">
      <c r="B6" t="inlineStr">
        <is>
          <t>Build to Rent</t>
        </is>
      </c>
      <c r="C6" t="inlineStr">
        <is>
          <t>Renovate / Build to Rent</t>
        </is>
      </c>
      <c r="F6" t="inlineStr">
        <is>
          <t>Nerissa Pryba</t>
        </is>
      </c>
      <c r="G6" t="inlineStr">
        <is>
          <t>Y</t>
        </is>
      </c>
    </row>
    <row r="7">
      <c r="B7" t="inlineStr">
        <is>
          <t>Portfolio Acquisition</t>
        </is>
      </c>
      <c r="C7" t="inlineStr">
        <is>
          <t>Renovate / Build to Rent</t>
        </is>
      </c>
      <c r="F7" t="inlineStr">
        <is>
          <t>John Sullivan</t>
        </is>
      </c>
      <c r="G7" t="inlineStr">
        <is>
          <t>Y</t>
        </is>
      </c>
    </row>
    <row r="8">
      <c r="B8" t="inlineStr">
        <is>
          <t>Refinance (SFR / MFR)</t>
        </is>
      </c>
      <c r="C8" t="inlineStr">
        <is>
          <t>Renovate / Build to Rent</t>
        </is>
      </c>
      <c r="F8" t="inlineStr">
        <is>
          <t>Chris Sullivan</t>
        </is>
      </c>
      <c r="G8" t="inlineStr">
        <is>
          <t>Y</t>
        </is>
      </c>
    </row>
    <row r="9">
      <c r="B9" t="inlineStr">
        <is>
          <t>Aggregation</t>
        </is>
      </c>
      <c r="C9" t="inlineStr">
        <is>
          <t>Renovate / Build to Rent</t>
        </is>
      </c>
      <c r="F9" t="inlineStr">
        <is>
          <t>Jim Casey</t>
        </is>
      </c>
      <c r="G9" t="inlineStr">
        <is>
          <t>Y</t>
        </is>
      </c>
    </row>
    <row r="10">
      <c r="B10" t="inlineStr">
        <is>
          <t>Multifamily Light Lift</t>
        </is>
      </c>
      <c r="C10" t="inlineStr">
        <is>
          <t>Multifamily</t>
        </is>
      </c>
      <c r="F10" t="inlineStr">
        <is>
          <t>Jon Popovich</t>
        </is>
      </c>
      <c r="G10" t="inlineStr">
        <is>
          <t>Y</t>
        </is>
      </c>
    </row>
    <row r="11">
      <c r="B11" t="inlineStr">
        <is>
          <t>Multifamily Light Lift/CLO</t>
        </is>
      </c>
      <c r="C11" t="inlineStr">
        <is>
          <t>Multifamily</t>
        </is>
      </c>
      <c r="F11" t="inlineStr">
        <is>
          <t>John Parsinen</t>
        </is>
      </c>
      <c r="G11" t="inlineStr">
        <is>
          <t>Y</t>
        </is>
      </c>
    </row>
    <row r="12">
      <c r="B12" t="inlineStr">
        <is>
          <t>Multifamily Lease-Up/No Rehab</t>
        </is>
      </c>
      <c r="C12" t="inlineStr">
        <is>
          <t>Multifamily</t>
        </is>
      </c>
      <c r="F12" t="inlineStr">
        <is>
          <t>Matt Kim</t>
        </is>
      </c>
      <c r="G12" t="inlineStr">
        <is>
          <t>Y</t>
        </is>
      </c>
    </row>
    <row r="13">
      <c r="B13" t="inlineStr">
        <is>
          <t>Multifamily Lease-Up/No Rehab/CLO</t>
        </is>
      </c>
      <c r="C13" t="inlineStr">
        <is>
          <t>Multifamily</t>
        </is>
      </c>
      <c r="F13" t="inlineStr">
        <is>
          <t>John Oakes</t>
        </is>
      </c>
      <c r="G13" t="inlineStr">
        <is>
          <t>Y</t>
        </is>
      </c>
    </row>
    <row r="14">
      <c r="B14" t="inlineStr">
        <is>
          <t>Multifamily Heavy Lift</t>
        </is>
      </c>
      <c r="C14" t="inlineStr">
        <is>
          <t>Multifamily</t>
        </is>
      </c>
      <c r="F14" t="inlineStr">
        <is>
          <t>Cole Smith</t>
        </is>
      </c>
      <c r="G14" t="inlineStr">
        <is>
          <t>Y</t>
        </is>
      </c>
    </row>
    <row r="15">
      <c r="B15" t="inlineStr">
        <is>
          <t>Multifamily Heavy Lift/CLO</t>
        </is>
      </c>
      <c r="C15" t="inlineStr">
        <is>
          <t>Multifamily</t>
        </is>
      </c>
    </row>
    <row r="16">
      <c r="B16" t="inlineStr">
        <is>
          <t>Conversion to Multifamily</t>
        </is>
      </c>
      <c r="C16" t="inlineStr">
        <is>
          <t>Multifamily</t>
        </is>
      </c>
    </row>
    <row r="17">
      <c r="B17" t="inlineStr">
        <is>
          <t>Multifamily GUC</t>
        </is>
      </c>
      <c r="C17" t="inlineStr">
        <is>
          <t>Multifamily</t>
        </is>
      </c>
    </row>
    <row r="18">
      <c r="B18" t="inlineStr">
        <is>
          <t>Ground Up Construction</t>
        </is>
      </c>
      <c r="C18" t="inlineStr">
        <is>
          <t>Multifamily</t>
        </is>
      </c>
    </row>
    <row r="19">
      <c r="B19" t="inlineStr">
        <is>
          <t>Townhome GUC</t>
        </is>
      </c>
      <c r="C19" t="inlineStr">
        <is>
          <t>Multifamily</t>
        </is>
      </c>
    </row>
    <row r="20">
      <c r="B20" t="inlineStr">
        <is>
          <t>Fix and Flip</t>
        </is>
      </c>
      <c r="C20" t="inlineStr">
        <is>
          <t>Single Asset 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Keown</dc:creator>
  <dcterms:created xmlns:dcterms="http://purl.org/dc/terms/" xmlns:xsi="http://www.w3.org/2001/XMLSchema-instance" xsi:type="dcterms:W3CDTF">2025-10-06T15:35:50Z</dcterms:created>
  <dcterms:modified xmlns:dcterms="http://purl.org/dc/terms/" xmlns:xsi="http://www.w3.org/2001/XMLSchema-instance" xsi:type="dcterms:W3CDTF">2026-06-08T22:35:24Z</dcterms:modified>
  <cp:lastModifiedBy>Hayden Keown</cp:lastModifiedBy>
</cp:coreProperties>
</file>