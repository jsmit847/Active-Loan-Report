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woodtrust-my.sharepoint.com/personal/jonathan_smith_cvest_com/Documents/Downloads/"/>
    </mc:Choice>
  </mc:AlternateContent>
  <xr:revisionPtr revIDLastSave="12" documentId="13_ncr:1_{D4DA3C1F-5B99-42ED-8282-83FBEF7861FF}" xr6:coauthVersionLast="47" xr6:coauthVersionMax="47" xr10:uidLastSave="{CCDBDD2D-A93E-40F1-ACB4-912C8C90DAF4}"/>
  <bookViews>
    <workbookView xWindow="-25485" yWindow="-120" windowWidth="25440" windowHeight="15270" activeTab="1" xr2:uid="{00C131C7-9DB3-4C4E-AD78-2CBF562B522A}"/>
  </bookViews>
  <sheets>
    <sheet name="Summary" sheetId="15" r:id="rId1"/>
    <sheet name="Bridge Loan" sheetId="9" r:id="rId2"/>
    <sheet name="Bridge Asset" sheetId="1" r:id="rId3"/>
    <sheet name="Term Loan" sheetId="11" r:id="rId4"/>
    <sheet name="Term Asset" sheetId="12" r:id="rId5"/>
    <sheet name="Pacific Life" sheetId="2" r:id="rId6"/>
    <sheet name="SSP Loans" sheetId="6" state="hidden" r:id="rId7"/>
    <sheet name="Legacy" sheetId="4" state="hidden" r:id="rId8"/>
    <sheet name="Strategy Groupings" sheetId="5" state="hidden" r:id="rId9"/>
  </sheets>
  <definedNames>
    <definedName name="_xlnm._FilterDatabase" localSheetId="2" hidden="1">'Bridge Asset'!$B$4:$DA$4</definedName>
    <definedName name="_xlnm._FilterDatabase" localSheetId="1" hidden="1">'Bridge Loan'!$B$4:$BG$4</definedName>
    <definedName name="_xlnm._FilterDatabase" localSheetId="7" hidden="1">Legacy!$B$5:$I$59</definedName>
    <definedName name="_xlnm._FilterDatabase" localSheetId="6" hidden="1">'SSP Loans'!$B$4:$C$24</definedName>
    <definedName name="_xlnm._FilterDatabase" localSheetId="4" hidden="1">'Term Asset'!$B$4:$O$4</definedName>
    <definedName name="_xlnm._FilterDatabase" localSheetId="3" hidden="1">'Term Loan'!$B$4:$AD$4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AI3" i="1"/>
  <c r="CL3" i="1"/>
  <c r="CQ3" i="1"/>
  <c r="CZ3" i="1"/>
  <c r="Z3" i="9"/>
  <c r="P3" i="11" l="1"/>
  <c r="AD3" i="11" l="1"/>
  <c r="Z4" i="9" l="1"/>
  <c r="G3" i="4" l="1"/>
  <c r="O28" i="15" l="1"/>
  <c r="N28" i="15"/>
  <c r="M28" i="15"/>
  <c r="L28" i="15"/>
  <c r="J28" i="15"/>
  <c r="I28" i="15"/>
  <c r="H28" i="15"/>
  <c r="G28" i="15"/>
  <c r="F28" i="15"/>
  <c r="E28" i="15"/>
  <c r="D28" i="15"/>
  <c r="C28" i="15"/>
  <c r="L3" i="12" l="1"/>
  <c r="L4" i="12"/>
  <c r="V3" i="9"/>
  <c r="D30" i="15" l="1"/>
  <c r="F30" i="15"/>
  <c r="C30" i="15"/>
  <c r="G30" i="15"/>
  <c r="E30" i="15"/>
  <c r="H30" i="15"/>
  <c r="D31" i="15"/>
  <c r="F31" i="15"/>
  <c r="G31" i="15"/>
  <c r="C31" i="15"/>
  <c r="E31" i="15"/>
  <c r="H31" i="15"/>
  <c r="F33" i="15"/>
  <c r="C33" i="15"/>
  <c r="G33" i="15"/>
  <c r="E33" i="15"/>
  <c r="H33" i="15"/>
  <c r="D33" i="15"/>
  <c r="D32" i="15"/>
  <c r="F32" i="15"/>
  <c r="G32" i="15"/>
  <c r="C32" i="15"/>
  <c r="E32" i="15"/>
  <c r="H32" i="15"/>
  <c r="F29" i="15"/>
  <c r="F36" i="15" s="1"/>
  <c r="C29" i="15"/>
  <c r="C36" i="15" s="1"/>
  <c r="G29" i="15"/>
  <c r="G36" i="15" s="1"/>
  <c r="E29" i="15"/>
  <c r="E36" i="15" s="1"/>
  <c r="H29" i="15"/>
  <c r="H36" i="15" s="1"/>
  <c r="D29" i="15"/>
  <c r="D36" i="15" s="1"/>
  <c r="E41" i="15"/>
  <c r="C41" i="15"/>
  <c r="H41" i="15"/>
  <c r="G41" i="15"/>
  <c r="D41" i="15"/>
  <c r="F41" i="15"/>
  <c r="H40" i="15"/>
  <c r="G40" i="15"/>
  <c r="F40" i="15"/>
  <c r="E40" i="15"/>
  <c r="D40" i="15"/>
  <c r="C40" i="15"/>
  <c r="H37" i="15" l="1"/>
  <c r="H38" i="15" s="1"/>
  <c r="D37" i="15"/>
  <c r="D38" i="15" s="1"/>
  <c r="G37" i="15"/>
  <c r="G38" i="15" s="1"/>
  <c r="C37" i="15"/>
  <c r="C38" i="15" s="1"/>
  <c r="E37" i="15"/>
  <c r="E38" i="15" s="1"/>
  <c r="F37" i="15"/>
  <c r="F38" i="15" s="1"/>
  <c r="I33" i="15"/>
  <c r="J33" i="15" s="1"/>
  <c r="O33" i="15" s="1"/>
  <c r="D34" i="15"/>
  <c r="H34" i="15"/>
  <c r="E34" i="15"/>
  <c r="G34" i="15"/>
  <c r="C34" i="15"/>
  <c r="I29" i="15"/>
  <c r="F34" i="15"/>
  <c r="I40" i="15"/>
  <c r="J40" i="15" s="1"/>
  <c r="I32" i="15"/>
  <c r="J32" i="15" s="1"/>
  <c r="I41" i="15"/>
  <c r="J41" i="15" s="1"/>
  <c r="I30" i="15"/>
  <c r="I31" i="15"/>
  <c r="J29" i="15" l="1"/>
  <c r="M29" i="15" s="1"/>
  <c r="I36" i="15"/>
  <c r="J31" i="15"/>
  <c r="J37" i="15" s="1"/>
  <c r="M37" i="15" s="1"/>
  <c r="I37" i="15"/>
  <c r="M33" i="15"/>
  <c r="I34" i="15"/>
  <c r="N33" i="15"/>
  <c r="L33" i="15"/>
  <c r="O32" i="15"/>
  <c r="L32" i="15"/>
  <c r="N32" i="15"/>
  <c r="M32" i="15"/>
  <c r="J30" i="15"/>
  <c r="O41" i="15"/>
  <c r="L41" i="15"/>
  <c r="M41" i="15"/>
  <c r="O40" i="15"/>
  <c r="L40" i="15"/>
  <c r="M40" i="15"/>
  <c r="N41" i="15"/>
  <c r="N40" i="15"/>
  <c r="L31" i="15" l="1"/>
  <c r="O31" i="15"/>
  <c r="M31" i="15"/>
  <c r="N31" i="15"/>
  <c r="L29" i="15"/>
  <c r="N29" i="15"/>
  <c r="J34" i="15"/>
  <c r="L37" i="15"/>
  <c r="N37" i="15"/>
  <c r="O37" i="15"/>
  <c r="I38" i="15"/>
  <c r="O29" i="15"/>
  <c r="J36" i="15"/>
  <c r="L30" i="15"/>
  <c r="M30" i="15"/>
  <c r="N30" i="15"/>
  <c r="O30" i="15"/>
  <c r="E17" i="15" l="1"/>
  <c r="F17" i="15"/>
  <c r="G17" i="15"/>
  <c r="H17" i="15"/>
  <c r="C17" i="15"/>
  <c r="D17" i="15"/>
  <c r="J38" i="15"/>
  <c r="O36" i="15"/>
  <c r="L36" i="15"/>
  <c r="N36" i="15"/>
  <c r="M36" i="15"/>
  <c r="H16" i="15"/>
  <c r="H18" i="15"/>
  <c r="H12" i="15"/>
  <c r="G12" i="15"/>
  <c r="F12" i="15"/>
  <c r="E12" i="15"/>
  <c r="D12" i="15"/>
  <c r="C12" i="15"/>
  <c r="H13" i="15"/>
  <c r="H20" i="15" s="1"/>
  <c r="G13" i="15"/>
  <c r="G20" i="15" s="1"/>
  <c r="F13" i="15"/>
  <c r="F20" i="15" s="1"/>
  <c r="E13" i="15"/>
  <c r="E20" i="15" s="1"/>
  <c r="D13" i="15"/>
  <c r="D20" i="15" s="1"/>
  <c r="C13" i="15"/>
  <c r="C20" i="15" s="1"/>
  <c r="C18" i="15"/>
  <c r="D18" i="15"/>
  <c r="E18" i="15"/>
  <c r="F18" i="15"/>
  <c r="D14" i="15"/>
  <c r="C14" i="15"/>
  <c r="H14" i="15"/>
  <c r="G14" i="15"/>
  <c r="F14" i="15"/>
  <c r="E14" i="15"/>
  <c r="G18" i="15"/>
  <c r="C16" i="15"/>
  <c r="H15" i="15"/>
  <c r="G15" i="15"/>
  <c r="F15" i="15"/>
  <c r="E15" i="15"/>
  <c r="D15" i="15"/>
  <c r="C15" i="15"/>
  <c r="D16" i="15"/>
  <c r="E16" i="15"/>
  <c r="F16" i="15"/>
  <c r="G16" i="15"/>
  <c r="M34" i="15"/>
  <c r="L34" i="15"/>
  <c r="O34" i="15"/>
  <c r="N34" i="15"/>
  <c r="D6" i="15"/>
  <c r="C6" i="15"/>
  <c r="H6" i="15"/>
  <c r="G6" i="15"/>
  <c r="F6" i="15"/>
  <c r="E6" i="15"/>
  <c r="F7" i="15"/>
  <c r="E7" i="15"/>
  <c r="D7" i="15"/>
  <c r="C7" i="15"/>
  <c r="G7" i="15"/>
  <c r="H7" i="15"/>
  <c r="E9" i="15"/>
  <c r="D9" i="15"/>
  <c r="H9" i="15"/>
  <c r="G9" i="15"/>
  <c r="C9" i="15"/>
  <c r="F9" i="15"/>
  <c r="G8" i="15"/>
  <c r="F8" i="15"/>
  <c r="E8" i="15"/>
  <c r="C8" i="15"/>
  <c r="D8" i="15"/>
  <c r="H8" i="15"/>
  <c r="I17" i="15" l="1"/>
  <c r="J17" i="15" s="1"/>
  <c r="L17" i="15" s="1"/>
  <c r="F21" i="15"/>
  <c r="F22" i="15" s="1"/>
  <c r="G21" i="15"/>
  <c r="G22" i="15" s="1"/>
  <c r="H21" i="15"/>
  <c r="H22" i="15" s="1"/>
  <c r="M38" i="15"/>
  <c r="N38" i="15"/>
  <c r="L38" i="15"/>
  <c r="O38" i="15"/>
  <c r="E21" i="15"/>
  <c r="E22" i="15" s="1"/>
  <c r="C21" i="15"/>
  <c r="C22" i="15" s="1"/>
  <c r="D21" i="15"/>
  <c r="D22" i="15" s="1"/>
  <c r="I16" i="15"/>
  <c r="J16" i="15" s="1"/>
  <c r="O16" i="15" s="1"/>
  <c r="I18" i="15"/>
  <c r="J18" i="15" s="1"/>
  <c r="N18" i="15" s="1"/>
  <c r="I15" i="15"/>
  <c r="J15" i="15" s="1"/>
  <c r="N15" i="15" s="1"/>
  <c r="I14" i="15"/>
  <c r="I6" i="15"/>
  <c r="J6" i="15" s="1"/>
  <c r="N6" i="15" s="1"/>
  <c r="I8" i="15"/>
  <c r="J8" i="15" s="1"/>
  <c r="O8" i="15" s="1"/>
  <c r="H10" i="15"/>
  <c r="G10" i="15"/>
  <c r="I7" i="15"/>
  <c r="C10" i="15"/>
  <c r="D10" i="15"/>
  <c r="E10" i="15"/>
  <c r="I9" i="15"/>
  <c r="J9" i="15" s="1"/>
  <c r="M9" i="15" s="1"/>
  <c r="F10" i="15"/>
  <c r="I12" i="15"/>
  <c r="I13" i="15"/>
  <c r="I20" i="15" s="1"/>
  <c r="N17" i="15" l="1"/>
  <c r="M17" i="15"/>
  <c r="O17" i="15"/>
  <c r="I21" i="15"/>
  <c r="I22" i="15" s="1"/>
  <c r="L16" i="15"/>
  <c r="N16" i="15"/>
  <c r="M16" i="15"/>
  <c r="O18" i="15"/>
  <c r="M15" i="15"/>
  <c r="L15" i="15"/>
  <c r="J14" i="15"/>
  <c r="O14" i="15" s="1"/>
  <c r="M18" i="15"/>
  <c r="L18" i="15"/>
  <c r="O15" i="15"/>
  <c r="N9" i="15"/>
  <c r="O9" i="15"/>
  <c r="M6" i="15"/>
  <c r="N8" i="15"/>
  <c r="L8" i="15"/>
  <c r="M8" i="15"/>
  <c r="L6" i="15"/>
  <c r="O6" i="15"/>
  <c r="L9" i="15"/>
  <c r="J7" i="15"/>
  <c r="I10" i="15"/>
  <c r="J13" i="15"/>
  <c r="J20" i="15" s="1"/>
  <c r="J12" i="15"/>
  <c r="J21" i="15" s="1"/>
  <c r="J22" i="15" l="1"/>
  <c r="L14" i="15"/>
  <c r="M14" i="15"/>
  <c r="N14" i="15"/>
  <c r="N12" i="15"/>
  <c r="O12" i="15"/>
  <c r="O13" i="15"/>
  <c r="N13" i="15"/>
  <c r="J10" i="15"/>
  <c r="M7" i="15"/>
  <c r="L7" i="15"/>
  <c r="O7" i="15"/>
  <c r="N7" i="15"/>
  <c r="M12" i="15"/>
  <c r="L12" i="15"/>
  <c r="M13" i="15"/>
  <c r="L13" i="15"/>
  <c r="L22" i="15" l="1"/>
  <c r="M22" i="15"/>
  <c r="N22" i="15"/>
  <c r="O22" i="15"/>
  <c r="N21" i="15"/>
  <c r="O21" i="15"/>
  <c r="O20" i="15"/>
  <c r="N20" i="15"/>
  <c r="N10" i="15"/>
  <c r="O10" i="15"/>
  <c r="M10" i="15"/>
  <c r="L10" i="15"/>
  <c r="L21" i="15"/>
  <c r="M21" i="15"/>
  <c r="L20" i="15"/>
  <c r="M20" i="15"/>
</calcChain>
</file>

<file path=xl/sharedStrings.xml><?xml version="1.0" encoding="utf-8"?>
<sst xmlns="http://schemas.openxmlformats.org/spreadsheetml/2006/main" count="617" uniqueCount="416">
  <si>
    <t>Report Date</t>
  </si>
  <si>
    <t>Account</t>
  </si>
  <si>
    <t>ID</t>
  </si>
  <si>
    <t>Previous Account</t>
  </si>
  <si>
    <t>Original Vendor</t>
  </si>
  <si>
    <t>Lender Account</t>
  </si>
  <si>
    <t>Lender Name</t>
  </si>
  <si>
    <t>Lender Ownership Pct</t>
  </si>
  <si>
    <t>Lender Funding Date</t>
  </si>
  <si>
    <t>Borrower Name</t>
  </si>
  <si>
    <t>Borrower Address</t>
  </si>
  <si>
    <t>Borrower City</t>
  </si>
  <si>
    <t>Borrower State</t>
  </si>
  <si>
    <t>Borrower Zip</t>
  </si>
  <si>
    <t>Home</t>
  </si>
  <si>
    <t>Work</t>
  </si>
  <si>
    <t>Mobile</t>
  </si>
  <si>
    <t>Fax</t>
  </si>
  <si>
    <t>Original Balance</t>
  </si>
  <si>
    <t>Starting Balance</t>
  </si>
  <si>
    <t>Current Balance</t>
  </si>
  <si>
    <t>Note Rate</t>
  </si>
  <si>
    <t>Investor Rate</t>
  </si>
  <si>
    <t>Lien Position</t>
  </si>
  <si>
    <t>Escrow Payment</t>
  </si>
  <si>
    <t>Suspense Pmt.</t>
  </si>
  <si>
    <t>Loan Charges</t>
  </si>
  <si>
    <t>Unpaid Late Charges</t>
  </si>
  <si>
    <t>Unpaid Interest</t>
  </si>
  <si>
    <t>Sr.Loan Amount</t>
  </si>
  <si>
    <t>Unearned Disc.</t>
  </si>
  <si>
    <t>Regular Payment</t>
  </si>
  <si>
    <t>Status</t>
  </si>
  <si>
    <t>Grace Days</t>
  </si>
  <si>
    <t>Minimum Late Charge</t>
  </si>
  <si>
    <t>Late Charge %</t>
  </si>
  <si>
    <t>Paid To Date</t>
  </si>
  <si>
    <t>Boarding  Date</t>
  </si>
  <si>
    <t>Next Due Date</t>
  </si>
  <si>
    <t>Maturity Date</t>
  </si>
  <si>
    <t>Paid Off Date</t>
  </si>
  <si>
    <t>Purchase Date</t>
  </si>
  <si>
    <t>Origination Date</t>
  </si>
  <si>
    <t>Prop.Address</t>
  </si>
  <si>
    <t>Prop.City</t>
  </si>
  <si>
    <t>Prop.State</t>
  </si>
  <si>
    <t>Prop.Zip</t>
  </si>
  <si>
    <t>Appr.Value</t>
  </si>
  <si>
    <t>Appr.Source</t>
  </si>
  <si>
    <t>Appr.Date</t>
  </si>
  <si>
    <t>LTV</t>
  </si>
  <si>
    <t>Occupancy</t>
  </si>
  <si>
    <t>Prop.Type</t>
  </si>
  <si>
    <t>ACH status</t>
  </si>
  <si>
    <t>Rate Type</t>
  </si>
  <si>
    <t>Deferred Principal Balance</t>
  </si>
  <si>
    <t>Deferred Unpaid Interest</t>
  </si>
  <si>
    <t>Deferred Unpaid Late Charges</t>
  </si>
  <si>
    <t>Deferred Unpaid Loan Charges</t>
  </si>
  <si>
    <t>Primary Purpose</t>
  </si>
  <si>
    <t>Invest Asset Number</t>
  </si>
  <si>
    <t>Days Late</t>
  </si>
  <si>
    <t>Loan Type</t>
  </si>
  <si>
    <t>Draw Status</t>
  </si>
  <si>
    <t>Draw Close Date</t>
  </si>
  <si>
    <t>Maximum Draw</t>
  </si>
  <si>
    <t>Funded Amount</t>
  </si>
  <si>
    <t>Available Balance</t>
  </si>
  <si>
    <t>Borrower Full Name</t>
  </si>
  <si>
    <t>CoBorrower</t>
  </si>
  <si>
    <t>Restricted Balance</t>
  </si>
  <si>
    <t>Default Interest Rate</t>
  </si>
  <si>
    <t>Closed Date</t>
  </si>
  <si>
    <t>Closed Reason</t>
  </si>
  <si>
    <t>Default Interest Active Status</t>
  </si>
  <si>
    <t>Escrow Balance</t>
  </si>
  <si>
    <t>Reserve Balance</t>
  </si>
  <si>
    <t>Borrower Email</t>
  </si>
  <si>
    <t>Sec Financing</t>
  </si>
  <si>
    <t>Creation Date</t>
  </si>
  <si>
    <t>Originator Loan Number</t>
  </si>
  <si>
    <t>Borrower First Name</t>
  </si>
  <si>
    <t>Borrower Middle Name</t>
  </si>
  <si>
    <t>Borrower Last Name</t>
  </si>
  <si>
    <t>Prepayment Expiration Date</t>
  </si>
  <si>
    <t>Default Int Is Enabled</t>
  </si>
  <si>
    <t>Other Payments</t>
  </si>
  <si>
    <t>FCI</t>
  </si>
  <si>
    <t>04461</t>
  </si>
  <si>
    <t>5ARCHASSET</t>
  </si>
  <si>
    <t>14733</t>
  </si>
  <si>
    <t>Pacific Life Insurance Company</t>
  </si>
  <si>
    <t>100.000%</t>
  </si>
  <si>
    <t>R&amp;M Commercial Real Estate, LLC
Ron Jackson</t>
  </si>
  <si>
    <t>335 Fields Drive</t>
  </si>
  <si>
    <t>Aberdeen</t>
  </si>
  <si>
    <t>NC</t>
  </si>
  <si>
    <t>28315</t>
  </si>
  <si>
    <t>(910)944-7453</t>
  </si>
  <si>
    <t>(317)710-0126</t>
  </si>
  <si>
    <t>(910)691-5907;(910)215-3841</t>
  </si>
  <si>
    <t/>
  </si>
  <si>
    <t>6.25000%</t>
  </si>
  <si>
    <t>6.00000%</t>
  </si>
  <si>
    <t>1st</t>
  </si>
  <si>
    <t>Performing</t>
  </si>
  <si>
    <t>10.000%</t>
  </si>
  <si>
    <t>5 Vail Place</t>
  </si>
  <si>
    <t>Pinehurst</t>
  </si>
  <si>
    <t>28374</t>
  </si>
  <si>
    <t>Vacant</t>
  </si>
  <si>
    <t>Residential Income 1-4</t>
  </si>
  <si>
    <t>Fixed Rate</t>
  </si>
  <si>
    <t>Business</t>
  </si>
  <si>
    <t>Business Purpose Loan</t>
  </si>
  <si>
    <t>R&amp;M Commercial Real Estate, LLCRon Jackson</t>
  </si>
  <si>
    <t>qualitybuilt1@hotmail.com</t>
  </si>
  <si>
    <t>Deal Number</t>
  </si>
  <si>
    <t>Servicer ID</t>
  </si>
  <si>
    <t>Servicer</t>
  </si>
  <si>
    <t>SF Yardi ID</t>
  </si>
  <si>
    <t>Asset ID</t>
  </si>
  <si>
    <t>Portfolio</t>
  </si>
  <si>
    <t>Loan Buyer</t>
  </si>
  <si>
    <t>Financing</t>
  </si>
  <si>
    <t>Deal Name</t>
  </si>
  <si>
    <t>Borrower Entity</t>
  </si>
  <si>
    <t>Account Name</t>
  </si>
  <si>
    <t>Do Not Lend (Y/N)</t>
  </si>
  <si>
    <t>Primary Contact</t>
  </si>
  <si>
    <t>Address</t>
  </si>
  <si>
    <t>City</t>
  </si>
  <si>
    <t>State</t>
  </si>
  <si>
    <t>Zip</t>
  </si>
  <si>
    <t>County</t>
  </si>
  <si>
    <t>CBSA</t>
  </si>
  <si>
    <t>APN</t>
  </si>
  <si>
    <t>Additional APNs</t>
  </si>
  <si>
    <t># of Units</t>
  </si>
  <si>
    <t>Year Built</t>
  </si>
  <si>
    <t>Square Feet</t>
  </si>
  <si>
    <t>First Funding Date</t>
  </si>
  <si>
    <t>Last Funding Date</t>
  </si>
  <si>
    <t>Next Payment Date</t>
  </si>
  <si>
    <t>Original Loan Maturity date</t>
  </si>
  <si>
    <t>Current Loan Maturity date</t>
  </si>
  <si>
    <t>Original Asset Maturity date</t>
  </si>
  <si>
    <t>Current Asset Maturity Date</t>
  </si>
  <si>
    <t>Asset Manager 1</t>
  </si>
  <si>
    <t>AM 1 Assigned Date</t>
  </si>
  <si>
    <t>Asset Manager 2</t>
  </si>
  <si>
    <t>AM 2 Assigned Date</t>
  </si>
  <si>
    <t>Construction Mgr.</t>
  </si>
  <si>
    <t>SF Funded Amount</t>
  </si>
  <si>
    <t>CALC</t>
  </si>
  <si>
    <t>Remedy Plan</t>
  </si>
  <si>
    <t>Delinquency Notes</t>
  </si>
  <si>
    <t>Maturity Status</t>
  </si>
  <si>
    <t>Is Special Asset (Y/N)</t>
  </si>
  <si>
    <t>Special Asset Status</t>
  </si>
  <si>
    <t>Special Asset Reason</t>
  </si>
  <si>
    <t>Special Asset: Special Asset Status</t>
  </si>
  <si>
    <t>Special Asset: Resolved Date</t>
  </si>
  <si>
    <t>Forbearance Term Date</t>
  </si>
  <si>
    <t>REO Date</t>
  </si>
  <si>
    <t>Origination Value Dt</t>
  </si>
  <si>
    <t>Origination As-Is Value</t>
  </si>
  <si>
    <t>Origination ARV</t>
  </si>
  <si>
    <t>Most Recent Appraisal Order Date</t>
  </si>
  <si>
    <t>Updated Valuation Date</t>
  </si>
  <si>
    <t>Updated As-Is Value</t>
  </si>
  <si>
    <t>Updated ARV</t>
  </si>
  <si>
    <t>Initial Disbursement Funded</t>
  </si>
  <si>
    <t>Renovation Holdback</t>
  </si>
  <si>
    <t>Renovation Holdback Funded</t>
  </si>
  <si>
    <t>Renovation Holdback Remaining</t>
  </si>
  <si>
    <t>Interest Allocation</t>
  </si>
  <si>
    <t>Interest Allocation Funded</t>
  </si>
  <si>
    <t>Title Company</t>
  </si>
  <si>
    <t>Tax Due Date</t>
  </si>
  <si>
    <t>Tax Frequency</t>
  </si>
  <si>
    <t>Tax Commentary</t>
  </si>
  <si>
    <t>Segment</t>
  </si>
  <si>
    <t>Product Type</t>
  </si>
  <si>
    <t>Product Sub-Type</t>
  </si>
  <si>
    <t xml:space="preserve">Transaction Type </t>
  </si>
  <si>
    <t>Project Strategy</t>
  </si>
  <si>
    <t>Strategy Grouping</t>
  </si>
  <si>
    <t>Property Type</t>
  </si>
  <si>
    <t>Originator</t>
  </si>
  <si>
    <t>Active RM</t>
  </si>
  <si>
    <t>Deal Intro Sub-Source</t>
  </si>
  <si>
    <t>Referral Source Account</t>
  </si>
  <si>
    <t>Referral Source Contact</t>
  </si>
  <si>
    <t>Loan Stage</t>
  </si>
  <si>
    <t>Property Status</t>
  </si>
  <si>
    <t>Servicer Status</t>
  </si>
  <si>
    <t>Servicer Maturity Date</t>
  </si>
  <si>
    <t>5A-11833</t>
  </si>
  <si>
    <t>2071-003145</t>
  </si>
  <si>
    <t>2340-003726</t>
  </si>
  <si>
    <t>Florio 3000 Ember MF</t>
  </si>
  <si>
    <t>Florio 204-210 Graham MF</t>
  </si>
  <si>
    <t>The Village at Kensington</t>
  </si>
  <si>
    <t>Florio 198-200 Harrison MF</t>
  </si>
  <si>
    <t>AB Asset Management Louisiana CRE Portfolio</t>
  </si>
  <si>
    <t>Midwest Portfolio - OH</t>
  </si>
  <si>
    <t>Midwest Portfolio - IN</t>
  </si>
  <si>
    <t>The Jolie</t>
  </si>
  <si>
    <t>Florio 875 Conley MF</t>
  </si>
  <si>
    <t>Florio 925 Conley MF</t>
  </si>
  <si>
    <t>London Square &amp; River Glen</t>
  </si>
  <si>
    <t>Antigua Village CLO</t>
  </si>
  <si>
    <t>Florio Mayson Turner MF</t>
  </si>
  <si>
    <t>Boston Woods</t>
  </si>
  <si>
    <t>Polaris at East Point</t>
  </si>
  <si>
    <t>The Wilcox</t>
  </si>
  <si>
    <t>The Morgan</t>
  </si>
  <si>
    <t>JCF Lebanon, LLC</t>
  </si>
  <si>
    <t>SAP RE HOLDINGS LLC</t>
  </si>
  <si>
    <t>Falcon Conley CV20 LLC (Florio Conley)</t>
  </si>
  <si>
    <t>JCF Panama Clara, LLC</t>
  </si>
  <si>
    <t>JCF Panama Waterfront, LLC</t>
  </si>
  <si>
    <t>Antioch (The Clublands)</t>
  </si>
  <si>
    <t>Prominence BTR 3</t>
  </si>
  <si>
    <t>Florio 94-96 16th MF</t>
  </si>
  <si>
    <t>Florio 362-366 Hamilton MF</t>
  </si>
  <si>
    <t>The Conservancy BTR</t>
  </si>
  <si>
    <t>The View ABQ</t>
  </si>
  <si>
    <t>TCY Capital Baton Rouge</t>
  </si>
  <si>
    <t>Florio 8-10 Godwin MF</t>
  </si>
  <si>
    <t>Florio 21 Godwin MF</t>
  </si>
  <si>
    <t>Cottages at Braselton - 2022</t>
  </si>
  <si>
    <t>707 West Commerce</t>
  </si>
  <si>
    <t>Onslow - Town Center Apts</t>
  </si>
  <si>
    <t>Florio 41 Godwin MF</t>
  </si>
  <si>
    <t>Indigo 52, LLC</t>
  </si>
  <si>
    <t>Mittelman Portfolio Baton Rouge</t>
  </si>
  <si>
    <t>Urban Communities Detroit Multis - LOC</t>
  </si>
  <si>
    <t>Florio 212-214 12th Ave MF</t>
  </si>
  <si>
    <t>Moda Yorkville Townhomes</t>
  </si>
  <si>
    <t>Viking Mill</t>
  </si>
  <si>
    <t>JCF Huntsville 2 - 2022 Refinance</t>
  </si>
  <si>
    <t>Second City Rentals LOC 2</t>
  </si>
  <si>
    <t>32 India St</t>
  </si>
  <si>
    <t>Eagles Landing</t>
  </si>
  <si>
    <t>Prominence BTR 4</t>
  </si>
  <si>
    <t>Yorkminster 2023</t>
  </si>
  <si>
    <t>Bungalows on Village Way 2023</t>
  </si>
  <si>
    <t>Smartland Aggregation LOC</t>
  </si>
  <si>
    <t>Eden Hill Development Refi Renewal</t>
  </si>
  <si>
    <t>Sutton Fields</t>
  </si>
  <si>
    <t>Sandrock Gardens</t>
  </si>
  <si>
    <t>Sherry Li LOC 5</t>
  </si>
  <si>
    <t>Ark Homes for Rent (Settlers Preserve) LOC</t>
  </si>
  <si>
    <t>River View at Bexley</t>
  </si>
  <si>
    <t>Tides Group I</t>
  </si>
  <si>
    <t>McKinley Homes</t>
  </si>
  <si>
    <t>Wan Bridge LOC 2025 II</t>
  </si>
  <si>
    <t>97 Appletree Dr</t>
  </si>
  <si>
    <t>2340-003726 - 27 Virginia Ave, 29 Virginia Ave &amp; 31 Virginia Ave</t>
  </si>
  <si>
    <t>7157 S YALE LLC</t>
  </si>
  <si>
    <t>8100 S Paulina Investment LLC</t>
  </si>
  <si>
    <t>8200 S Paulina Investment LLC</t>
  </si>
  <si>
    <t>7200 S Vincennes Investment LLC</t>
  </si>
  <si>
    <t>ALJ Portfolio II LLC</t>
  </si>
  <si>
    <t>Multifamily</t>
  </si>
  <si>
    <t>Multifamily Light Lift/CLO</t>
  </si>
  <si>
    <t>Multifamily Heavy Lift/CLO</t>
  </si>
  <si>
    <t>Multifamily Lease-Up/No Rehab/CLO</t>
  </si>
  <si>
    <t>Build to Rent</t>
  </si>
  <si>
    <t>Renovate and Rent</t>
  </si>
  <si>
    <t>Aggregation</t>
  </si>
  <si>
    <t>Multifamily Light Lift</t>
  </si>
  <si>
    <t>Fix and Flip</t>
  </si>
  <si>
    <t>Multifamily Lease-Up/No Rehab</t>
  </si>
  <si>
    <t>Multifamily GUC</t>
  </si>
  <si>
    <t>Portfolio Acquisition</t>
  </si>
  <si>
    <t>Conversion to Multifamily</t>
  </si>
  <si>
    <t>Multifamily Heavy Lift</t>
  </si>
  <si>
    <t>Townhome GUC</t>
  </si>
  <si>
    <t>Ground Up Construction</t>
  </si>
  <si>
    <t>Refinance (SFR / MFR)</t>
  </si>
  <si>
    <t>Other</t>
  </si>
  <si>
    <t>Active</t>
  </si>
  <si>
    <t>REO</t>
  </si>
  <si>
    <t>Y</t>
  </si>
  <si>
    <t>Natasha Sango</t>
  </si>
  <si>
    <t>Nerissa Pryba</t>
  </si>
  <si>
    <t>Chris Sullivan</t>
  </si>
  <si>
    <t>John Sullivan</t>
  </si>
  <si>
    <t>Jim Casey</t>
  </si>
  <si>
    <t>John Oakes</t>
  </si>
  <si>
    <t>John Parsinen</t>
  </si>
  <si>
    <t>Cole Smith</t>
  </si>
  <si>
    <t>Matt Kim</t>
  </si>
  <si>
    <t>Legacy</t>
  </si>
  <si>
    <t>Balfour Chamblee</t>
  </si>
  <si>
    <t>CAPITAL HOMES INVESTMENTS LLC</t>
  </si>
  <si>
    <t>Stanley Wellington Bridge</t>
  </si>
  <si>
    <t>Cornerstone Apartments Louisville</t>
  </si>
  <si>
    <t>2214-003504</t>
  </si>
  <si>
    <t>3651 Alta Mesa Drive</t>
  </si>
  <si>
    <t>4646 Moncrief</t>
  </si>
  <si>
    <t xml:space="preserve">ALJ Investmentss, Inc. </t>
  </si>
  <si>
    <t>LEXINGTON EQUITIES LLC, a Delaware limited liability company</t>
  </si>
  <si>
    <t>Wieder BR 1</t>
  </si>
  <si>
    <t>Bonner MA II</t>
  </si>
  <si>
    <t>Razjooyan DC 7 (2844 Langston Pl SE)</t>
  </si>
  <si>
    <t>John Bailey WV</t>
  </si>
  <si>
    <t>Equity Build 3</t>
  </si>
  <si>
    <t>Bonham Capital</t>
  </si>
  <si>
    <t>Cohen 1</t>
  </si>
  <si>
    <t>Vision &amp; Beyond 1</t>
  </si>
  <si>
    <t>Vision &amp; Beyond 2</t>
  </si>
  <si>
    <t>Sold Servicing Retained</t>
  </si>
  <si>
    <t>Single Asset Bridge</t>
  </si>
  <si>
    <t>Strategy</t>
  </si>
  <si>
    <t>Grouping</t>
  </si>
  <si>
    <t>Renovate / Build to Rent</t>
  </si>
  <si>
    <t>Project Strategy Groupings</t>
  </si>
  <si>
    <t>Deal No.</t>
  </si>
  <si>
    <t>SSP Pool</t>
  </si>
  <si>
    <t>Current</t>
  </si>
  <si>
    <t>Suspense Balance</t>
  </si>
  <si>
    <t>CM Assigned Date</t>
  </si>
  <si>
    <t>CV Maturity Date</t>
  </si>
  <si>
    <t>Maturity Difference</t>
  </si>
  <si>
    <t>Days to Maturity</t>
  </si>
  <si>
    <t>Days Past Due</t>
  </si>
  <si>
    <t>DQ Status</t>
  </si>
  <si>
    <t>Most Recent Valuation Date</t>
  </si>
  <si>
    <t>Most Recent As-Is Value</t>
  </si>
  <si>
    <t>Most Recent ARV</t>
  </si>
  <si>
    <t>CPP JV</t>
  </si>
  <si>
    <t>Special Flag</t>
  </si>
  <si>
    <t>Securitized (Y/N)</t>
  </si>
  <si>
    <t>CPP JV (Y/N)</t>
  </si>
  <si>
    <t>Oaktree JV (Y/N)</t>
  </si>
  <si>
    <t>Matured Loan (YN)</t>
  </si>
  <si>
    <t>DQ 45+ Loan (Y/N)</t>
  </si>
  <si>
    <t>SA Loan (Y/N)</t>
  </si>
  <si>
    <t>SSP JV (Y/N)</t>
  </si>
  <si>
    <t>Bridge Asset Data</t>
  </si>
  <si>
    <t xml:space="preserve">Account </t>
  </si>
  <si>
    <t>Number of Assets</t>
  </si>
  <si>
    <t>State(s)</t>
  </si>
  <si>
    <t>Original Maturity Date</t>
  </si>
  <si>
    <t>Current Maturity Date</t>
  </si>
  <si>
    <t>Next Advance Maturity Date</t>
  </si>
  <si>
    <t>Loan Level Delinquency</t>
  </si>
  <si>
    <t>Loan Commitment</t>
  </si>
  <si>
    <t>Active Funded Amount</t>
  </si>
  <si>
    <t>Remaining Commitment</t>
  </si>
  <si>
    <t>Renovation HB Funded</t>
  </si>
  <si>
    <t>Renovation HB Remaining</t>
  </si>
  <si>
    <t>Product Sub Type</t>
  </si>
  <si>
    <t>Transaction Type</t>
  </si>
  <si>
    <t>CV Originator</t>
  </si>
  <si>
    <t>Special Focus (Y/N)</t>
  </si>
  <si>
    <t>AM Commentary</t>
  </si>
  <si>
    <t>DQ 90+</t>
  </si>
  <si>
    <t>DQ 1-29</t>
  </si>
  <si>
    <t>DQ 30-59</t>
  </si>
  <si>
    <t>DQ 60-89</t>
  </si>
  <si>
    <t>Bridge Loan Data</t>
  </si>
  <si>
    <t>Loan Amount</t>
  </si>
  <si>
    <t>Asset Manager</t>
  </si>
  <si>
    <t>DSCR</t>
  </si>
  <si>
    <t>Apollo Global Management, Inc</t>
  </si>
  <si>
    <t>Blackstone Financial Services</t>
  </si>
  <si>
    <t>Securitized Term</t>
  </si>
  <si>
    <t>Special Loans List (Y/N)</t>
  </si>
  <si>
    <t># Units</t>
  </si>
  <si>
    <t>Property ALA</t>
  </si>
  <si>
    <t>Special (Y/N)</t>
  </si>
  <si>
    <t>Value Date</t>
  </si>
  <si>
    <t>As-Is Value</t>
  </si>
  <si>
    <t>* JV Loans Included at 100% UPB</t>
  </si>
  <si>
    <t>Total</t>
  </si>
  <si>
    <t>Total Ex. REO</t>
  </si>
  <si>
    <t>Total Bridge</t>
  </si>
  <si>
    <t>DQ 30+ %</t>
  </si>
  <si>
    <t>DQ 60+ %</t>
  </si>
  <si>
    <t>DQ 90+ %</t>
  </si>
  <si>
    <t>REO %</t>
  </si>
  <si>
    <t>Securitized Bridge</t>
  </si>
  <si>
    <t>Total Term</t>
  </si>
  <si>
    <t>Oaktree JV</t>
  </si>
  <si>
    <t>Legacy Bridge - 9/30</t>
  </si>
  <si>
    <t>09302025 RWT Bridge Tape - 10.17.25 v1</t>
  </si>
  <si>
    <t>Q3 Segment</t>
  </si>
  <si>
    <t>Legacy - Partial</t>
  </si>
  <si>
    <t>Paid Off</t>
  </si>
  <si>
    <t>Legacy Term - 9/30</t>
  </si>
  <si>
    <t>Term Loan Data</t>
  </si>
  <si>
    <t>Term Asset Data</t>
  </si>
  <si>
    <t>Jon Popovich</t>
  </si>
  <si>
    <t>3/31 NPL (Y/N)</t>
  </si>
  <si>
    <t>3/31 NPL</t>
  </si>
  <si>
    <t>Mortgage Banking</t>
  </si>
  <si>
    <t>SSP</t>
  </si>
  <si>
    <t>Special Asset Officers</t>
  </si>
  <si>
    <t>Balance Sheet Bridge</t>
  </si>
  <si>
    <t>Legacy Bridge</t>
  </si>
  <si>
    <t>Non-Legacy Bridge</t>
  </si>
  <si>
    <t>Legacy Term</t>
  </si>
  <si>
    <t>Non-Legacy Term</t>
  </si>
  <si>
    <t>Balance Sheet Term</t>
  </si>
  <si>
    <t>Needs NPL Value</t>
  </si>
  <si>
    <t>28.550%</t>
  </si>
  <si>
    <t>2/28 UPB</t>
  </si>
  <si>
    <t>Legacy (Y/N)</t>
  </si>
  <si>
    <t>Bridge DQ (2/28)</t>
  </si>
  <si>
    <t>Term DQ (2/28)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</si>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</sst>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\$#,##0.00"/>
    <numFmt numFmtId="166" formatCode="0.0000%"/>
    <numFmt numFmtId="167" formatCode="#,###.00;[Red]\(#,###.00\);&quot;-&quot;"/>
    <numFmt numFmtId="168" formatCode="#,###;[Red]\(#,###\);&quot;-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167" fontId="2" fillId="0" borderId="0" xfId="0" applyNumberFormat="1" applyFont="1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 vertical="center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0" fontId="0" fillId="0" borderId="5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8" fontId="0" fillId="0" borderId="8" xfId="0" applyNumberForma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8" fontId="0" fillId="0" borderId="3" xfId="0" applyNumberFormat="1" applyBorder="1" applyAlignment="1">
      <alignment horizontal="center"/>
    </xf>
    <xf numFmtId="10" fontId="0" fillId="0" borderId="8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/>
    </xf>
    <xf numFmtId="168" fontId="2" fillId="0" borderId="8" xfId="0" applyNumberFormat="1" applyFont="1" applyBorder="1" applyAlignment="1">
      <alignment horizontal="center"/>
    </xf>
    <xf numFmtId="168" fontId="2" fillId="0" borderId="4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68" fontId="0" fillId="7" borderId="10" xfId="0" applyNumberFormat="1" applyFill="1" applyBorder="1" applyAlignment="1">
      <alignment horizontal="center"/>
    </xf>
    <xf numFmtId="10" fontId="0" fillId="5" borderId="10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3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168" fontId="0" fillId="0" borderId="6" xfId="0" applyNumberForma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9F9A-3DB5-4202-8D0F-8F38963648F6}">
  <dimension ref="B2:O50"/>
  <sheetViews>
    <sheetView showGridLines="0" zoomScale="85" zoomScaleNormal="85" workbookViewId="0">
      <selection activeCell="D14" sqref="D14"/>
    </sheetView>
  </sheetViews>
  <sheetFormatPr defaultRowHeight="15" customHeight="1" x14ac:dyDescent="0.25"/>
  <cols>
    <col min="2" max="2" width="29.7109375" customWidth="1"/>
    <col min="3" max="10" width="17.7109375" customWidth="1"/>
    <col min="12" max="15" width="15.7109375" customWidth="1"/>
  </cols>
  <sheetData>
    <row r="2" spans="2:15" ht="15" customHeight="1" x14ac:dyDescent="0.25">
      <c r="B2" s="7" t="s">
        <v>413</v>
      </c>
    </row>
    <row r="3" spans="2:15" ht="15" customHeight="1" x14ac:dyDescent="0.25">
      <c r="B3" t="s">
        <v>378</v>
      </c>
    </row>
    <row r="5" spans="2:15" ht="22.5" customHeight="1" x14ac:dyDescent="0.25">
      <c r="B5" s="17"/>
      <c r="C5" s="18" t="s">
        <v>323</v>
      </c>
      <c r="D5" s="18" t="s">
        <v>362</v>
      </c>
      <c r="E5" s="18" t="s">
        <v>363</v>
      </c>
      <c r="F5" s="18" t="s">
        <v>364</v>
      </c>
      <c r="G5" s="18" t="s">
        <v>361</v>
      </c>
      <c r="H5" s="18" t="s">
        <v>285</v>
      </c>
      <c r="I5" s="19" t="s">
        <v>379</v>
      </c>
      <c r="J5" s="18" t="s">
        <v>380</v>
      </c>
      <c r="L5" s="18" t="s">
        <v>382</v>
      </c>
      <c r="M5" s="18" t="s">
        <v>383</v>
      </c>
      <c r="N5" s="18" t="s">
        <v>384</v>
      </c>
      <c r="O5" s="18" t="s">
        <v>385</v>
      </c>
    </row>
    <row r="6" spans="2:15" ht="15" customHeight="1" x14ac:dyDescent="0.25">
      <c r="B6" s="1" t="s">
        <v>319</v>
      </c>
      <c r="C6" s="14">
        <f>SUMIFS('Bridge Asset'!$AI:$AI,'Bridge Asset'!$BW:$BW,Summary!$B6,'Bridge Asset'!$CM:$CM,Summary!C$5)</f>
        <v>0</v>
      </c>
      <c r="D6" s="14">
        <f>SUMIFS('Bridge Asset'!$AI:$AI,'Bridge Asset'!$BW:$BW,Summary!$B6,'Bridge Asset'!$CM:$CM,Summary!D$5)</f>
        <v>0</v>
      </c>
      <c r="E6" s="14">
        <f>SUMIFS('Bridge Asset'!$AI:$AI,'Bridge Asset'!$BW:$BW,Summary!$B6,'Bridge Asset'!$CM:$CM,Summary!E$5)</f>
        <v>0</v>
      </c>
      <c r="F6" s="14">
        <f>SUMIFS('Bridge Asset'!$AI:$AI,'Bridge Asset'!$BW:$BW,Summary!$B6,'Bridge Asset'!$CM:$CM,Summary!F$5)</f>
        <v>0</v>
      </c>
      <c r="G6" s="14">
        <f>SUMIFS('Bridge Asset'!$AI:$AI,'Bridge Asset'!$BW:$BW,Summary!$B6,'Bridge Asset'!$CM:$CM,Summary!G$5)</f>
        <v>0</v>
      </c>
      <c r="H6" s="14">
        <f>SUMIFS('Bridge Asset'!$AI:$AI,'Bridge Asset'!$BW:$BW,Summary!$B6,'Bridge Asset'!$CM:$CM,Summary!H$5)</f>
        <v>0</v>
      </c>
      <c r="I6" s="20">
        <f>SUM($C6:$H6)</f>
        <v>0</v>
      </c>
      <c r="J6" s="15">
        <f>+$I6-$H6</f>
        <v>0</v>
      </c>
      <c r="L6" s="16" t="str">
        <f>IFERROR(SUM($E6:$G6)/$J6,"N/A")</f>
        <v>N/A</v>
      </c>
      <c r="M6" s="16" t="str">
        <f>IFERROR(SUM($F6:$G6)/$J6,"N/A")</f>
        <v>N/A</v>
      </c>
      <c r="N6" s="16" t="e">
        <f>+$G6/$J6</f>
        <v>#DIV/0!</v>
      </c>
      <c r="O6" s="16" t="e">
        <f>+$H6/$J6</f>
        <v>#DIV/0!</v>
      </c>
    </row>
    <row r="7" spans="2:15" ht="15" customHeight="1" x14ac:dyDescent="0.25">
      <c r="B7" s="1" t="s">
        <v>266</v>
      </c>
      <c r="C7" s="14">
        <f>SUMIFS('Bridge Asset'!$AI:$AI,'Bridge Asset'!$BW:$BW,Summary!$B7,'Bridge Asset'!$CM:$CM,Summary!C$5)</f>
        <v>0</v>
      </c>
      <c r="D7" s="14">
        <f>SUMIFS('Bridge Asset'!$AI:$AI,'Bridge Asset'!$BW:$BW,Summary!$B7,'Bridge Asset'!$CM:$CM,Summary!D$5)</f>
        <v>0</v>
      </c>
      <c r="E7" s="14">
        <f>SUMIFS('Bridge Asset'!$AI:$AI,'Bridge Asset'!$BW:$BW,Summary!$B7,'Bridge Asset'!$CM:$CM,Summary!E$5)</f>
        <v>0</v>
      </c>
      <c r="F7" s="14">
        <f>SUMIFS('Bridge Asset'!$AI:$AI,'Bridge Asset'!$BW:$BW,Summary!$B7,'Bridge Asset'!$CM:$CM,Summary!F$5)</f>
        <v>0</v>
      </c>
      <c r="G7" s="14">
        <f>SUMIFS('Bridge Asset'!$AI:$AI,'Bridge Asset'!$BW:$BW,Summary!$B7,'Bridge Asset'!$CM:$CM,Summary!G$5)</f>
        <v>0</v>
      </c>
      <c r="H7" s="14">
        <f>SUMIFS('Bridge Asset'!$AI:$AI,'Bridge Asset'!$BW:$BW,Summary!$B7,'Bridge Asset'!$CM:$CM,Summary!H$5)</f>
        <v>0</v>
      </c>
      <c r="I7" s="20">
        <f t="shared" ref="I7:I9" si="0">SUM($C7:$H7)</f>
        <v>0</v>
      </c>
      <c r="J7" s="15">
        <f t="shared" ref="J7:J9" si="1">+$I7-$H7</f>
        <v>0</v>
      </c>
      <c r="L7" s="16" t="str">
        <f t="shared" ref="L7:L18" si="2">IFERROR(SUM($E7:$G7)/$J7,"N/A")</f>
        <v>N/A</v>
      </c>
      <c r="M7" s="16" t="str">
        <f t="shared" ref="M7:M18" si="3">IFERROR(SUM($F7:$G7)/$J7,"N/A")</f>
        <v>N/A</v>
      </c>
      <c r="N7" s="16" t="e">
        <f t="shared" ref="N7:N18" si="4">+$G7/$J7</f>
        <v>#DIV/0!</v>
      </c>
      <c r="O7" s="16" t="e">
        <f t="shared" ref="O7:O18" si="5">+$H7/$J7</f>
        <v>#DIV/0!</v>
      </c>
    </row>
    <row r="8" spans="2:15" ht="15" customHeight="1" x14ac:dyDescent="0.25">
      <c r="B8" s="1" t="s">
        <v>316</v>
      </c>
      <c r="C8" s="14">
        <f>SUMIFS('Bridge Asset'!$AI:$AI,'Bridge Asset'!$BW:$BW,Summary!$B8,'Bridge Asset'!$CM:$CM,Summary!C$5)</f>
        <v>0</v>
      </c>
      <c r="D8" s="14">
        <f>SUMIFS('Bridge Asset'!$AI:$AI,'Bridge Asset'!$BW:$BW,Summary!$B8,'Bridge Asset'!$CM:$CM,Summary!D$5)</f>
        <v>0</v>
      </c>
      <c r="E8" s="14">
        <f>SUMIFS('Bridge Asset'!$AI:$AI,'Bridge Asset'!$BW:$BW,Summary!$B8,'Bridge Asset'!$CM:$CM,Summary!E$5)</f>
        <v>0</v>
      </c>
      <c r="F8" s="14">
        <f>SUMIFS('Bridge Asset'!$AI:$AI,'Bridge Asset'!$BW:$BW,Summary!$B8,'Bridge Asset'!$CM:$CM,Summary!F$5)</f>
        <v>0</v>
      </c>
      <c r="G8" s="14">
        <f>SUMIFS('Bridge Asset'!$AI:$AI,'Bridge Asset'!$BW:$BW,Summary!$B8,'Bridge Asset'!$CM:$CM,Summary!G$5)</f>
        <v>0</v>
      </c>
      <c r="H8" s="14">
        <f>SUMIFS('Bridge Asset'!$AI:$AI,'Bridge Asset'!$BW:$BW,Summary!$B8,'Bridge Asset'!$CM:$CM,Summary!H$5)</f>
        <v>0</v>
      </c>
      <c r="I8" s="20">
        <f t="shared" si="0"/>
        <v>0</v>
      </c>
      <c r="J8" s="15">
        <f t="shared" si="1"/>
        <v>0</v>
      </c>
      <c r="L8" s="16" t="str">
        <f t="shared" si="2"/>
        <v>N/A</v>
      </c>
      <c r="M8" s="16" t="str">
        <f t="shared" si="3"/>
        <v>N/A</v>
      </c>
      <c r="N8" s="16" t="e">
        <f t="shared" si="4"/>
        <v>#DIV/0!</v>
      </c>
      <c r="O8" s="16" t="e">
        <f t="shared" si="5"/>
        <v>#DIV/0!</v>
      </c>
    </row>
    <row r="9" spans="2:15" ht="15" customHeight="1" x14ac:dyDescent="0.25">
      <c r="B9" s="1" t="s">
        <v>283</v>
      </c>
      <c r="C9" s="14">
        <f>SUMIFS('Bridge Asset'!$AI:$AI,'Bridge Asset'!$BW:$BW,Summary!$B9,'Bridge Asset'!$CM:$CM,Summary!C$5)</f>
        <v>0</v>
      </c>
      <c r="D9" s="14">
        <f>SUMIFS('Bridge Asset'!$AI:$AI,'Bridge Asset'!$BW:$BW,Summary!$B9,'Bridge Asset'!$CM:$CM,Summary!D$5)</f>
        <v>0</v>
      </c>
      <c r="E9" s="14">
        <f>SUMIFS('Bridge Asset'!$AI:$AI,'Bridge Asset'!$BW:$BW,Summary!$B9,'Bridge Asset'!$CM:$CM,Summary!E$5)</f>
        <v>0</v>
      </c>
      <c r="F9" s="14">
        <f>SUMIFS('Bridge Asset'!$AI:$AI,'Bridge Asset'!$BW:$BW,Summary!$B9,'Bridge Asset'!$CM:$CM,Summary!F$5)</f>
        <v>0</v>
      </c>
      <c r="G9" s="14">
        <f>SUMIFS('Bridge Asset'!$AI:$AI,'Bridge Asset'!$BW:$BW,Summary!$B9,'Bridge Asset'!$CM:$CM,Summary!G$5)</f>
        <v>0</v>
      </c>
      <c r="H9" s="14">
        <f>SUMIFS('Bridge Asset'!$AI:$AI,'Bridge Asset'!$BW:$BW,Summary!$B9,'Bridge Asset'!$CM:$CM,Summary!H$5)</f>
        <v>0</v>
      </c>
      <c r="I9" s="20">
        <f t="shared" si="0"/>
        <v>0</v>
      </c>
      <c r="J9" s="15">
        <f t="shared" si="1"/>
        <v>0</v>
      </c>
      <c r="L9" s="16" t="str">
        <f t="shared" si="2"/>
        <v>N/A</v>
      </c>
      <c r="M9" s="16" t="str">
        <f t="shared" si="3"/>
        <v>N/A</v>
      </c>
      <c r="N9" s="16" t="e">
        <f t="shared" si="4"/>
        <v>#DIV/0!</v>
      </c>
      <c r="O9" s="16" t="e">
        <f t="shared" si="5"/>
        <v>#DIV/0!</v>
      </c>
    </row>
    <row r="10" spans="2:15" ht="15" customHeight="1" x14ac:dyDescent="0.25">
      <c r="B10" s="21" t="s">
        <v>381</v>
      </c>
      <c r="C10" s="22">
        <f>SUM(C$6:C$9)</f>
        <v>0</v>
      </c>
      <c r="D10" s="22">
        <f t="shared" ref="D10:J10" si="6">SUM(D$6:D$9)</f>
        <v>0</v>
      </c>
      <c r="E10" s="22">
        <f t="shared" si="6"/>
        <v>0</v>
      </c>
      <c r="F10" s="22">
        <f t="shared" si="6"/>
        <v>0</v>
      </c>
      <c r="G10" s="22">
        <f t="shared" si="6"/>
        <v>0</v>
      </c>
      <c r="H10" s="22">
        <f t="shared" si="6"/>
        <v>0</v>
      </c>
      <c r="I10" s="23">
        <f t="shared" si="6"/>
        <v>0</v>
      </c>
      <c r="J10" s="24">
        <f t="shared" si="6"/>
        <v>0</v>
      </c>
      <c r="L10" s="25" t="str">
        <f t="shared" si="2"/>
        <v>N/A</v>
      </c>
      <c r="M10" s="26" t="str">
        <f t="shared" si="3"/>
        <v>N/A</v>
      </c>
      <c r="N10" s="26" t="e">
        <f t="shared" si="4"/>
        <v>#DIV/0!</v>
      </c>
      <c r="O10" s="27" t="e">
        <f t="shared" si="5"/>
        <v>#DIV/0!</v>
      </c>
    </row>
    <row r="11" spans="2:15" ht="15" customHeight="1" thickBot="1" x14ac:dyDescent="0.3"/>
    <row r="12" spans="2:15" ht="15" customHeight="1" thickBot="1" x14ac:dyDescent="0.3">
      <c r="B12" s="28" t="s">
        <v>386</v>
      </c>
      <c r="C12" s="29">
        <f>SUMIFS('Bridge Asset'!$AI:$AI,'Bridge Asset'!$BR:$BR,Summary!$B12,'Bridge Asset'!$CM:$CM,Summary!C$5)</f>
        <v>0</v>
      </c>
      <c r="D12" s="29">
        <f>SUMIFS('Bridge Asset'!$AI:$AI,'Bridge Asset'!$BR:$BR,Summary!$B12,'Bridge Asset'!$CM:$CM,Summary!D$5)</f>
        <v>0</v>
      </c>
      <c r="E12" s="29">
        <f>SUMIFS('Bridge Asset'!$AI:$AI,'Bridge Asset'!$BR:$BR,Summary!$B12,'Bridge Asset'!$CM:$CM,Summary!E$5)</f>
        <v>0</v>
      </c>
      <c r="F12" s="29">
        <f>SUMIFS('Bridge Asset'!$AI:$AI,'Bridge Asset'!$BR:$BR,Summary!$B12,'Bridge Asset'!$CM:$CM,Summary!F$5)</f>
        <v>0</v>
      </c>
      <c r="G12" s="29">
        <f>SUMIFS('Bridge Asset'!$AI:$AI,'Bridge Asset'!$BR:$BR,Summary!$B12,'Bridge Asset'!$CM:$CM,Summary!G$5)</f>
        <v>0</v>
      </c>
      <c r="H12" s="29">
        <f>SUMIFS('Bridge Asset'!$AI:$AI,'Bridge Asset'!$BR:$BR,Summary!$B12,'Bridge Asset'!$CM:$CM,Summary!H$5)</f>
        <v>0</v>
      </c>
      <c r="I12" s="37">
        <f t="shared" ref="I12:I18" si="7">SUM($C12:$H12)</f>
        <v>0</v>
      </c>
      <c r="J12" s="38">
        <f t="shared" ref="J12:J18" si="8">+$I12-$H12</f>
        <v>0</v>
      </c>
      <c r="L12" s="32" t="str">
        <f t="shared" si="2"/>
        <v>N/A</v>
      </c>
      <c r="M12" s="32" t="str">
        <f t="shared" si="3"/>
        <v>N/A</v>
      </c>
      <c r="N12" s="46" t="e">
        <f t="shared" si="4"/>
        <v>#DIV/0!</v>
      </c>
      <c r="O12" s="32" t="e">
        <f t="shared" si="5"/>
        <v>#DIV/0!</v>
      </c>
    </row>
    <row r="13" spans="2:15" ht="15" customHeight="1" thickBot="1" x14ac:dyDescent="0.3">
      <c r="B13" s="1" t="s">
        <v>296</v>
      </c>
      <c r="C13" s="14">
        <f>SUMIFS('Bridge Asset'!$AI:$AI,'Bridge Asset'!$BR:$BR,Summary!$B13,'Bridge Asset'!$CM:$CM,Summary!C$5)</f>
        <v>0</v>
      </c>
      <c r="D13" s="14">
        <f>SUMIFS('Bridge Asset'!$AI:$AI,'Bridge Asset'!$BR:$BR,Summary!$B13,'Bridge Asset'!$CM:$CM,Summary!D$5)</f>
        <v>0</v>
      </c>
      <c r="E13" s="14">
        <f>SUMIFS('Bridge Asset'!$AI:$AI,'Bridge Asset'!$BR:$BR,Summary!$B13,'Bridge Asset'!$CM:$CM,Summary!E$5)</f>
        <v>0</v>
      </c>
      <c r="F13" s="14">
        <f>SUMIFS('Bridge Asset'!$AI:$AI,'Bridge Asset'!$BR:$BR,Summary!$B13,'Bridge Asset'!$CM:$CM,Summary!F$5)</f>
        <v>0</v>
      </c>
      <c r="G13" s="45">
        <f>SUMIFS('Bridge Asset'!$AI:$AI,'Bridge Asset'!$BR:$BR,Summary!$B13,'Bridge Asset'!$CM:$CM,Summary!G$5)</f>
        <v>0</v>
      </c>
      <c r="H13" s="14">
        <f>SUMIFS('Bridge Asset'!$AI:$AI,'Bridge Asset'!$BR:$BR,Summary!$B13,'Bridge Asset'!$CM:$CM,Summary!H$5)</f>
        <v>0</v>
      </c>
      <c r="I13" s="20">
        <f t="shared" si="7"/>
        <v>0</v>
      </c>
      <c r="J13" s="15">
        <f t="shared" si="8"/>
        <v>0</v>
      </c>
      <c r="L13" s="16" t="str">
        <f t="shared" si="2"/>
        <v>N/A</v>
      </c>
      <c r="M13" s="16" t="str">
        <f t="shared" si="3"/>
        <v>N/A</v>
      </c>
      <c r="N13" s="16" t="e">
        <f t="shared" si="4"/>
        <v>#DIV/0!</v>
      </c>
      <c r="O13" s="16" t="e">
        <f t="shared" si="5"/>
        <v>#DIV/0!</v>
      </c>
    </row>
    <row r="14" spans="2:15" ht="15" customHeight="1" x14ac:dyDescent="0.25">
      <c r="B14" s="1" t="s">
        <v>401</v>
      </c>
      <c r="C14" s="14">
        <f>SUMIFS('Bridge Asset'!$AI:$AI,'Bridge Asset'!$BR:$BR,Summary!$B14,'Bridge Asset'!$CM:$CM,Summary!C$5)</f>
        <v>0</v>
      </c>
      <c r="D14" s="14">
        <f>SUMIFS('Bridge Asset'!$AI:$AI,'Bridge Asset'!$BR:$BR,Summary!$B14,'Bridge Asset'!$CM:$CM,Summary!D$5)</f>
        <v>0</v>
      </c>
      <c r="E14" s="14">
        <f>SUMIFS('Bridge Asset'!$AI:$AI,'Bridge Asset'!$BR:$BR,Summary!$B14,'Bridge Asset'!$CM:$CM,Summary!E$5)</f>
        <v>0</v>
      </c>
      <c r="F14" s="14">
        <f>SUMIFS('Bridge Asset'!$AI:$AI,'Bridge Asset'!$BR:$BR,Summary!$B14,'Bridge Asset'!$CM:$CM,Summary!F$5)</f>
        <v>0</v>
      </c>
      <c r="G14" s="14">
        <f>SUMIFS('Bridge Asset'!$AI:$AI,'Bridge Asset'!$BR:$BR,Summary!$B14,'Bridge Asset'!$CM:$CM,Summary!G$5)</f>
        <v>0</v>
      </c>
      <c r="H14" s="14">
        <f>SUMIFS('Bridge Asset'!$AI:$AI,'Bridge Asset'!$BR:$BR,Summary!$B14,'Bridge Asset'!$CM:$CM,Summary!H$5)</f>
        <v>0</v>
      </c>
      <c r="I14" s="20">
        <f t="shared" si="7"/>
        <v>0</v>
      </c>
      <c r="J14" s="15">
        <f t="shared" si="8"/>
        <v>0</v>
      </c>
      <c r="L14" s="16" t="str">
        <f t="shared" si="2"/>
        <v>N/A</v>
      </c>
      <c r="M14" s="16" t="str">
        <f t="shared" si="3"/>
        <v>N/A</v>
      </c>
      <c r="N14" s="16" t="e">
        <f t="shared" si="4"/>
        <v>#DIV/0!</v>
      </c>
      <c r="O14" s="16" t="e">
        <f t="shared" si="5"/>
        <v>#DIV/0!</v>
      </c>
    </row>
    <row r="15" spans="2:15" ht="15" customHeight="1" x14ac:dyDescent="0.25">
      <c r="B15" s="1" t="s">
        <v>400</v>
      </c>
      <c r="C15" s="14">
        <f>SUMIFS('Bridge Asset'!$AI:$AI,'Bridge Asset'!$BR:$BR,Summary!$B15,'Bridge Asset'!$CM:$CM,Summary!C$5)</f>
        <v>0</v>
      </c>
      <c r="D15" s="14">
        <f>SUMIFS('Bridge Asset'!$AI:$AI,'Bridge Asset'!$BR:$BR,Summary!$B15,'Bridge Asset'!$CM:$CM,Summary!D$5)</f>
        <v>0</v>
      </c>
      <c r="E15" s="14">
        <f>SUMIFS('Bridge Asset'!$AI:$AI,'Bridge Asset'!$BR:$BR,Summary!$B15,'Bridge Asset'!$CM:$CM,Summary!E$5)</f>
        <v>0</v>
      </c>
      <c r="F15" s="14">
        <f>SUMIFS('Bridge Asset'!$AI:$AI,'Bridge Asset'!$BR:$BR,Summary!$B15,'Bridge Asset'!$CM:$CM,Summary!F$5)</f>
        <v>0</v>
      </c>
      <c r="G15" s="14">
        <f>SUMIFS('Bridge Asset'!$AI:$AI,'Bridge Asset'!$BR:$BR,Summary!$B15,'Bridge Asset'!$CM:$CM,Summary!G$5)</f>
        <v>0</v>
      </c>
      <c r="H15" s="14">
        <f>SUMIFS('Bridge Asset'!$AI:$AI,'Bridge Asset'!$BR:$BR,Summary!$B15,'Bridge Asset'!$CM:$CM,Summary!H$5)</f>
        <v>0</v>
      </c>
      <c r="I15" s="20">
        <f t="shared" si="7"/>
        <v>0</v>
      </c>
      <c r="J15" s="15">
        <f t="shared" si="8"/>
        <v>0</v>
      </c>
      <c r="L15" s="16" t="str">
        <f t="shared" si="2"/>
        <v>N/A</v>
      </c>
      <c r="M15" s="16" t="str">
        <f t="shared" si="3"/>
        <v>N/A</v>
      </c>
      <c r="N15" s="16" t="e">
        <f t="shared" si="4"/>
        <v>#DIV/0!</v>
      </c>
      <c r="O15" s="16" t="e">
        <f t="shared" si="5"/>
        <v>#DIV/0!</v>
      </c>
    </row>
    <row r="16" spans="2:15" ht="15" customHeight="1" x14ac:dyDescent="0.25">
      <c r="B16" s="1" t="s">
        <v>388</v>
      </c>
      <c r="C16" s="14">
        <f>SUMIFS('Bridge Asset'!$AI:$AI,'Bridge Asset'!$BR:$BR,Summary!$B16,'Bridge Asset'!$CM:$CM,Summary!C$5)</f>
        <v>0</v>
      </c>
      <c r="D16" s="14">
        <f>SUMIFS('Bridge Asset'!$AI:$AI,'Bridge Asset'!$BR:$BR,Summary!$B16,'Bridge Asset'!$CM:$CM,Summary!D$5)</f>
        <v>0</v>
      </c>
      <c r="E16" s="14">
        <f>SUMIFS('Bridge Asset'!$AI:$AI,'Bridge Asset'!$BR:$BR,Summary!$B16,'Bridge Asset'!$CM:$CM,Summary!E$5)</f>
        <v>0</v>
      </c>
      <c r="F16" s="14">
        <f>SUMIFS('Bridge Asset'!$AI:$AI,'Bridge Asset'!$BR:$BR,Summary!$B16,'Bridge Asset'!$CM:$CM,Summary!F$5)</f>
        <v>0</v>
      </c>
      <c r="G16" s="14">
        <f>SUMIFS('Bridge Asset'!$AI:$AI,'Bridge Asset'!$BR:$BR,Summary!$B16,'Bridge Asset'!$CM:$CM,Summary!G$5)</f>
        <v>0</v>
      </c>
      <c r="H16" s="14">
        <f>SUMIFS('Bridge Asset'!$AI:$AI,'Bridge Asset'!$BR:$BR,Summary!$B16,'Bridge Asset'!$CM:$CM,Summary!H$5)</f>
        <v>0</v>
      </c>
      <c r="I16" s="20">
        <f t="shared" si="7"/>
        <v>0</v>
      </c>
      <c r="J16" s="15">
        <f t="shared" si="8"/>
        <v>0</v>
      </c>
      <c r="L16" s="16" t="str">
        <f t="shared" si="2"/>
        <v>N/A</v>
      </c>
      <c r="M16" s="16" t="str">
        <f t="shared" si="3"/>
        <v>N/A</v>
      </c>
      <c r="N16" s="16" t="e">
        <f t="shared" si="4"/>
        <v>#DIV/0!</v>
      </c>
      <c r="O16" s="16" t="e">
        <f t="shared" si="5"/>
        <v>#DIV/0!</v>
      </c>
    </row>
    <row r="17" spans="2:15" ht="15" customHeight="1" x14ac:dyDescent="0.25">
      <c r="B17" s="1" t="s">
        <v>334</v>
      </c>
      <c r="C17" s="14">
        <f>SUMIFS('Bridge Asset'!$AI:$AI,'Bridge Asset'!$BR:$BR,Summary!$B17,'Bridge Asset'!$CM:$CM,Summary!C$5)</f>
        <v>0</v>
      </c>
      <c r="D17" s="14">
        <f>SUMIFS('Bridge Asset'!$AI:$AI,'Bridge Asset'!$BR:$BR,Summary!$B17,'Bridge Asset'!$CM:$CM,Summary!D$5)</f>
        <v>0</v>
      </c>
      <c r="E17" s="14">
        <f>SUMIFS('Bridge Asset'!$AI:$AI,'Bridge Asset'!$BR:$BR,Summary!$B17,'Bridge Asset'!$CM:$CM,Summary!E$5)</f>
        <v>0</v>
      </c>
      <c r="F17" s="14">
        <f>SUMIFS('Bridge Asset'!$AI:$AI,'Bridge Asset'!$BR:$BR,Summary!$B17,'Bridge Asset'!$CM:$CM,Summary!F$5)</f>
        <v>0</v>
      </c>
      <c r="G17" s="14">
        <f>SUMIFS('Bridge Asset'!$AI:$AI,'Bridge Asset'!$BR:$BR,Summary!$B17,'Bridge Asset'!$CM:$CM,Summary!G$5)</f>
        <v>0</v>
      </c>
      <c r="H17" s="14">
        <f>SUMIFS('Bridge Asset'!$AI:$AI,'Bridge Asset'!$BR:$BR,Summary!$B17,'Bridge Asset'!$CM:$CM,Summary!H$5)</f>
        <v>0</v>
      </c>
      <c r="I17" s="20">
        <f t="shared" si="7"/>
        <v>0</v>
      </c>
      <c r="J17" s="15">
        <f t="shared" si="8"/>
        <v>0</v>
      </c>
      <c r="L17" s="16" t="str">
        <f t="shared" si="2"/>
        <v>N/A</v>
      </c>
      <c r="M17" s="16" t="str">
        <f t="shared" si="3"/>
        <v>N/A</v>
      </c>
      <c r="N17" s="16" t="e">
        <f t="shared" si="4"/>
        <v>#DIV/0!</v>
      </c>
      <c r="O17" s="16" t="e">
        <f t="shared" si="5"/>
        <v>#DIV/0!</v>
      </c>
    </row>
    <row r="18" spans="2:15" ht="15" customHeight="1" x14ac:dyDescent="0.25">
      <c r="B18" s="30" t="s">
        <v>315</v>
      </c>
      <c r="C18" s="31">
        <f>SUMIFS('Bridge Asset'!$AI:$AI,'Bridge Asset'!$BR:$BR,Summary!$B18,'Bridge Asset'!$CM:$CM,Summary!C$5)</f>
        <v>0</v>
      </c>
      <c r="D18" s="31">
        <f>SUMIFS('Bridge Asset'!$AI:$AI,'Bridge Asset'!$BR:$BR,Summary!$B18,'Bridge Asset'!$CM:$CM,Summary!D$5)</f>
        <v>0</v>
      </c>
      <c r="E18" s="31">
        <f>SUMIFS('Bridge Asset'!$AI:$AI,'Bridge Asset'!$BR:$BR,Summary!$B18,'Bridge Asset'!$CM:$CM,Summary!E$5)</f>
        <v>0</v>
      </c>
      <c r="F18" s="31">
        <f>SUMIFS('Bridge Asset'!$AI:$AI,'Bridge Asset'!$BR:$BR,Summary!$B18,'Bridge Asset'!$CM:$CM,Summary!F$5)</f>
        <v>0</v>
      </c>
      <c r="G18" s="31">
        <f>SUMIFS('Bridge Asset'!$AI:$AI,'Bridge Asset'!$BR:$BR,Summary!$B18,'Bridge Asset'!$CM:$CM,Summary!G$5)</f>
        <v>0</v>
      </c>
      <c r="H18" s="31">
        <f>SUMIFS('Bridge Asset'!$AI:$AI,'Bridge Asset'!$BR:$BR,Summary!$B18,'Bridge Asset'!$CM:$CM,Summary!H$5)</f>
        <v>0</v>
      </c>
      <c r="I18" s="39">
        <f t="shared" si="7"/>
        <v>0</v>
      </c>
      <c r="J18" s="40">
        <f t="shared" si="8"/>
        <v>0</v>
      </c>
      <c r="L18" s="33" t="str">
        <f t="shared" si="2"/>
        <v>N/A</v>
      </c>
      <c r="M18" s="33" t="str">
        <f t="shared" si="3"/>
        <v>N/A</v>
      </c>
      <c r="N18" s="33" t="e">
        <f t="shared" si="4"/>
        <v>#DIV/0!</v>
      </c>
      <c r="O18" s="33" t="e">
        <f t="shared" si="5"/>
        <v>#DIV/0!</v>
      </c>
    </row>
    <row r="19" spans="2:15" ht="15" customHeight="1" x14ac:dyDescent="0.25">
      <c r="B19" s="1"/>
      <c r="C19" s="14"/>
      <c r="D19" s="14"/>
      <c r="E19" s="14"/>
      <c r="F19" s="14"/>
      <c r="G19" s="14"/>
      <c r="H19" s="14"/>
      <c r="I19" s="15"/>
      <c r="J19" s="15"/>
      <c r="L19" s="16"/>
      <c r="M19" s="16"/>
      <c r="N19" s="16"/>
      <c r="O19" s="16"/>
    </row>
    <row r="20" spans="2:15" ht="15" customHeight="1" x14ac:dyDescent="0.25">
      <c r="B20" s="28" t="s">
        <v>404</v>
      </c>
      <c r="C20" s="34">
        <f>+C$13</f>
        <v>0</v>
      </c>
      <c r="D20" s="34">
        <f t="shared" ref="D20:J20" si="9">+D$13</f>
        <v>0</v>
      </c>
      <c r="E20" s="34">
        <f t="shared" si="9"/>
        <v>0</v>
      </c>
      <c r="F20" s="34">
        <f t="shared" si="9"/>
        <v>0</v>
      </c>
      <c r="G20" s="34">
        <f t="shared" si="9"/>
        <v>0</v>
      </c>
      <c r="H20" s="34">
        <f t="shared" si="9"/>
        <v>0</v>
      </c>
      <c r="I20" s="41">
        <f t="shared" si="9"/>
        <v>0</v>
      </c>
      <c r="J20" s="42">
        <f t="shared" si="9"/>
        <v>0</v>
      </c>
      <c r="L20" s="32" t="str">
        <f>IFERROR(SUM($E20:$G20)/$J20,"N/A")</f>
        <v>N/A</v>
      </c>
      <c r="M20" s="32" t="str">
        <f>IFERROR(SUM($F20:$G20)/$J20,"N/A")</f>
        <v>N/A</v>
      </c>
      <c r="N20" s="32" t="e">
        <f>+$G20/$J20</f>
        <v>#DIV/0!</v>
      </c>
      <c r="O20" s="32" t="e">
        <f>+$H20/$J20</f>
        <v>#DIV/0!</v>
      </c>
    </row>
    <row r="21" spans="2:15" ht="15" customHeight="1" x14ac:dyDescent="0.25">
      <c r="B21" s="30" t="s">
        <v>405</v>
      </c>
      <c r="C21" s="36">
        <f>+C$12+C$15</f>
        <v>0</v>
      </c>
      <c r="D21" s="36">
        <f t="shared" ref="D21:J21" si="10">+D$12+D$15</f>
        <v>0</v>
      </c>
      <c r="E21" s="36">
        <f t="shared" si="10"/>
        <v>0</v>
      </c>
      <c r="F21" s="36">
        <f t="shared" si="10"/>
        <v>0</v>
      </c>
      <c r="G21" s="36">
        <f t="shared" si="10"/>
        <v>0</v>
      </c>
      <c r="H21" s="36">
        <f t="shared" si="10"/>
        <v>0</v>
      </c>
      <c r="I21" s="43">
        <f t="shared" si="10"/>
        <v>0</v>
      </c>
      <c r="J21" s="35">
        <f t="shared" si="10"/>
        <v>0</v>
      </c>
      <c r="L21" s="33" t="str">
        <f>IFERROR(SUM($E21:$G21)/$J21,"N/A")</f>
        <v>N/A</v>
      </c>
      <c r="M21" s="33" t="str">
        <f>IFERROR(SUM($F21:$G21)/$J21,"N/A")</f>
        <v>N/A</v>
      </c>
      <c r="N21" s="33" t="e">
        <f>+$G21/$J21</f>
        <v>#DIV/0!</v>
      </c>
      <c r="O21" s="33" t="e">
        <f>+$H21/$J21</f>
        <v>#DIV/0!</v>
      </c>
    </row>
    <row r="22" spans="2:15" ht="15" customHeight="1" x14ac:dyDescent="0.25">
      <c r="B22" s="21" t="s">
        <v>403</v>
      </c>
      <c r="C22" s="59">
        <f>SUM(C$20:C$21)</f>
        <v>0</v>
      </c>
      <c r="D22" s="59">
        <f t="shared" ref="D22:J22" si="11">SUM(D$20:D$21)</f>
        <v>0</v>
      </c>
      <c r="E22" s="59">
        <f t="shared" si="11"/>
        <v>0</v>
      </c>
      <c r="F22" s="59">
        <f t="shared" si="11"/>
        <v>0</v>
      </c>
      <c r="G22" s="59">
        <f t="shared" si="11"/>
        <v>0</v>
      </c>
      <c r="H22" s="59">
        <f t="shared" si="11"/>
        <v>0</v>
      </c>
      <c r="I22" s="23">
        <f t="shared" si="11"/>
        <v>0</v>
      </c>
      <c r="J22" s="24">
        <f t="shared" si="11"/>
        <v>0</v>
      </c>
      <c r="L22" s="25" t="str">
        <f t="shared" ref="L22" si="12">IFERROR(SUM($E22:$G22)/$J22,"N/A")</f>
        <v>N/A</v>
      </c>
      <c r="M22" s="26" t="str">
        <f t="shared" ref="M22" si="13">IFERROR(SUM($F22:$G22)/$J22,"N/A")</f>
        <v>N/A</v>
      </c>
      <c r="N22" s="26" t="e">
        <f t="shared" ref="N22" si="14">+$G22/$J22</f>
        <v>#DIV/0!</v>
      </c>
      <c r="O22" s="27" t="e">
        <f t="shared" ref="O22" si="15">+$H22/$J22</f>
        <v>#DIV/0!</v>
      </c>
    </row>
    <row r="23" spans="2:15" ht="15" customHeight="1" x14ac:dyDescent="0.25">
      <c r="B23" s="1"/>
      <c r="C23" s="14"/>
      <c r="D23" s="14"/>
      <c r="E23" s="14"/>
      <c r="F23" s="14"/>
      <c r="G23" s="14"/>
      <c r="H23" s="14"/>
      <c r="I23" s="15"/>
      <c r="J23" s="15"/>
      <c r="L23" s="16"/>
      <c r="M23" s="16"/>
      <c r="N23" s="16"/>
      <c r="O23" s="16"/>
    </row>
    <row r="24" spans="2:15" ht="15" customHeight="1" x14ac:dyDescent="0.25">
      <c r="C24" s="13"/>
      <c r="D24" s="13"/>
      <c r="E24" s="13"/>
      <c r="F24" s="13"/>
      <c r="G24" s="13"/>
      <c r="H24" s="13"/>
      <c r="I24" s="13"/>
      <c r="J24" s="13"/>
    </row>
    <row r="25" spans="2:15" ht="15" customHeight="1" x14ac:dyDescent="0.25">
      <c r="B25" s="7" t="s">
        <v>414</v>
      </c>
    </row>
    <row r="26" spans="2:15" ht="15" customHeight="1" x14ac:dyDescent="0.25">
      <c r="B26" t="s">
        <v>378</v>
      </c>
    </row>
    <row r="28" spans="2:15" ht="22.5" customHeight="1" x14ac:dyDescent="0.25">
      <c r="B28" s="17"/>
      <c r="C28" s="18" t="str">
        <f>+C$5</f>
        <v>Current</v>
      </c>
      <c r="D28" s="18" t="str">
        <f t="shared" ref="D28:O28" si="16">+D$5</f>
        <v>DQ 1-29</v>
      </c>
      <c r="E28" s="18" t="str">
        <f t="shared" si="16"/>
        <v>DQ 30-59</v>
      </c>
      <c r="F28" s="18" t="str">
        <f t="shared" si="16"/>
        <v>DQ 60-89</v>
      </c>
      <c r="G28" s="18" t="str">
        <f t="shared" si="16"/>
        <v>DQ 90+</v>
      </c>
      <c r="H28" s="18" t="str">
        <f t="shared" si="16"/>
        <v>REO</v>
      </c>
      <c r="I28" s="19" t="str">
        <f t="shared" si="16"/>
        <v>Total</v>
      </c>
      <c r="J28" s="18" t="str">
        <f t="shared" si="16"/>
        <v>Total Ex. REO</v>
      </c>
      <c r="L28" s="18" t="str">
        <f t="shared" si="16"/>
        <v>DQ 30+ %</v>
      </c>
      <c r="M28" s="18" t="str">
        <f t="shared" si="16"/>
        <v>DQ 60+ %</v>
      </c>
      <c r="N28" s="18" t="str">
        <f t="shared" si="16"/>
        <v>DQ 90+ %</v>
      </c>
      <c r="O28" s="18" t="str">
        <f t="shared" si="16"/>
        <v>REO %</v>
      </c>
    </row>
    <row r="29" spans="2:15" ht="15" customHeight="1" thickBot="1" x14ac:dyDescent="0.3">
      <c r="B29" s="1" t="s">
        <v>296</v>
      </c>
      <c r="C29" s="14">
        <f>SUMIFS('Term Loan'!$P:$P,'Term Loan'!$K:$K,Summary!$B29,'Term Loan'!$V:$V,Summary!C$28)</f>
        <v>0</v>
      </c>
      <c r="D29" s="14">
        <f>SUMIFS('Term Loan'!$P:$P,'Term Loan'!$K:$K,Summary!$B29,'Term Loan'!$V:$V,Summary!D$28)</f>
        <v>0</v>
      </c>
      <c r="E29" s="14">
        <f>SUMIFS('Term Loan'!$P:$P,'Term Loan'!$K:$K,Summary!$B29,'Term Loan'!$V:$V,Summary!E$28)</f>
        <v>0</v>
      </c>
      <c r="F29" s="14">
        <f>SUMIFS('Term Loan'!$P:$P,'Term Loan'!$K:$K,Summary!$B29,'Term Loan'!$V:$V,Summary!F$28)</f>
        <v>0</v>
      </c>
      <c r="G29" s="14">
        <f>SUMIFS('Term Loan'!$P:$P,'Term Loan'!$K:$K,Summary!$B29,'Term Loan'!$V:$V,Summary!G$28)</f>
        <v>0</v>
      </c>
      <c r="H29" s="14">
        <f>SUMIFS('Term Loan'!$P:$P,'Term Loan'!$K:$K,Summary!$B29,'Term Loan'!$V:$V,Summary!H$28)</f>
        <v>0</v>
      </c>
      <c r="I29" s="20">
        <f t="shared" ref="I29" si="17">SUM($C29:$H29)</f>
        <v>0</v>
      </c>
      <c r="J29" s="15">
        <f t="shared" ref="J29" si="18">+$I29-$H29</f>
        <v>0</v>
      </c>
      <c r="L29" s="16" t="str">
        <f t="shared" ref="L29" si="19">IFERROR(SUM($E29:$G29)/$J29,"N/A")</f>
        <v>N/A</v>
      </c>
      <c r="M29" s="16" t="str">
        <f t="shared" ref="M29" si="20">IFERROR(SUM($F29:$G29)/$J29,"N/A")</f>
        <v>N/A</v>
      </c>
      <c r="N29" s="16" t="e">
        <f t="shared" ref="N29" si="21">+$G29/$J29</f>
        <v>#DIV/0!</v>
      </c>
      <c r="O29" s="16" t="e">
        <f t="shared" ref="O29" si="22">+$H29/$J29</f>
        <v>#DIV/0!</v>
      </c>
    </row>
    <row r="30" spans="2:15" ht="15" customHeight="1" thickBot="1" x14ac:dyDescent="0.3">
      <c r="B30" s="1" t="s">
        <v>371</v>
      </c>
      <c r="C30" s="14">
        <f>SUMIFS('Term Loan'!$P:$P,'Term Loan'!$K:$K,Summary!$B30,'Term Loan'!$V:$V,Summary!C$28)</f>
        <v>0</v>
      </c>
      <c r="D30" s="14">
        <f>SUMIFS('Term Loan'!$P:$P,'Term Loan'!$K:$K,Summary!$B30,'Term Loan'!$V:$V,Summary!D$28)</f>
        <v>0</v>
      </c>
      <c r="E30" s="14">
        <f>SUMIFS('Term Loan'!$P:$P,'Term Loan'!$K:$K,Summary!$B30,'Term Loan'!$V:$V,Summary!E$28)</f>
        <v>0</v>
      </c>
      <c r="F30" s="14">
        <f>SUMIFS('Term Loan'!$P:$P,'Term Loan'!$K:$K,Summary!$B30,'Term Loan'!$V:$V,Summary!F$28)</f>
        <v>0</v>
      </c>
      <c r="G30" s="14">
        <f>SUMIFS('Term Loan'!$P:$P,'Term Loan'!$K:$K,Summary!$B30,'Term Loan'!$V:$V,Summary!G$28)</f>
        <v>0</v>
      </c>
      <c r="H30" s="14">
        <f>SUMIFS('Term Loan'!$P:$P,'Term Loan'!$K:$K,Summary!$B30,'Term Loan'!$V:$V,Summary!H$28)</f>
        <v>0</v>
      </c>
      <c r="I30" s="20">
        <f>SUM($C30:$H30)</f>
        <v>0</v>
      </c>
      <c r="J30" s="15">
        <f>+$I30-$H30</f>
        <v>0</v>
      </c>
      <c r="L30" s="16" t="str">
        <f>IFERROR(SUM($E30:$G30)/$J30,"N/A")</f>
        <v>N/A</v>
      </c>
      <c r="M30" s="16" t="str">
        <f>IFERROR(SUM($F30:$G30)/$J30,"N/A")</f>
        <v>N/A</v>
      </c>
      <c r="N30" s="44" t="e">
        <f>+$G30/$J30</f>
        <v>#DIV/0!</v>
      </c>
      <c r="O30" s="16" t="e">
        <f>+$H30/$J30</f>
        <v>#DIV/0!</v>
      </c>
    </row>
    <row r="31" spans="2:15" ht="15" customHeight="1" x14ac:dyDescent="0.25">
      <c r="B31" s="1" t="s">
        <v>400</v>
      </c>
      <c r="C31" s="14">
        <f>SUMIFS('Term Loan'!$P:$P,'Term Loan'!$K:$K,Summary!$B31,'Term Loan'!$V:$V,Summary!C$28)</f>
        <v>0</v>
      </c>
      <c r="D31" s="14">
        <f>SUMIFS('Term Loan'!$P:$P,'Term Loan'!$K:$K,Summary!$B31,'Term Loan'!$V:$V,Summary!D$28)</f>
        <v>0</v>
      </c>
      <c r="E31" s="14">
        <f>SUMIFS('Term Loan'!$P:$P,'Term Loan'!$K:$K,Summary!$B31,'Term Loan'!$V:$V,Summary!E$28)</f>
        <v>0</v>
      </c>
      <c r="F31" s="14">
        <f>SUMIFS('Term Loan'!$P:$P,'Term Loan'!$K:$K,Summary!$B31,'Term Loan'!$V:$V,Summary!F$28)</f>
        <v>0</v>
      </c>
      <c r="G31" s="14">
        <f>SUMIFS('Term Loan'!$P:$P,'Term Loan'!$K:$K,Summary!$B31,'Term Loan'!$V:$V,Summary!G$28)</f>
        <v>0</v>
      </c>
      <c r="H31" s="14">
        <f>SUMIFS('Term Loan'!$P:$P,'Term Loan'!$K:$K,Summary!$B31,'Term Loan'!$V:$V,Summary!H$28)</f>
        <v>0</v>
      </c>
      <c r="I31" s="20">
        <f>SUM($C31:$H31)</f>
        <v>0</v>
      </c>
      <c r="J31" s="15">
        <f>+$I31-$H31</f>
        <v>0</v>
      </c>
      <c r="L31" s="16" t="str">
        <f t="shared" ref="L31:L33" si="23">IFERROR(SUM($E31:$G31)/$J31,"N/A")</f>
        <v>N/A</v>
      </c>
      <c r="M31" s="16" t="str">
        <f t="shared" ref="M31:M33" si="24">IFERROR(SUM($F31:$G31)/$J31,"N/A")</f>
        <v>N/A</v>
      </c>
      <c r="N31" s="16" t="e">
        <f t="shared" ref="N31:N33" si="25">+$G31/$J31</f>
        <v>#DIV/0!</v>
      </c>
      <c r="O31" s="16" t="e">
        <f t="shared" ref="O31:O33" si="26">+$H31/$J31</f>
        <v>#DIV/0!</v>
      </c>
    </row>
    <row r="32" spans="2:15" ht="15" customHeight="1" x14ac:dyDescent="0.25">
      <c r="B32" s="1" t="s">
        <v>334</v>
      </c>
      <c r="C32" s="14">
        <f>SUMIFS('Term Loan'!$P:$P,'Term Loan'!$K:$K,Summary!$B32,'Term Loan'!$V:$V,Summary!C$28)</f>
        <v>0</v>
      </c>
      <c r="D32" s="14">
        <f>SUMIFS('Term Loan'!$P:$P,'Term Loan'!$K:$K,Summary!$B32,'Term Loan'!$V:$V,Summary!D$28)</f>
        <v>0</v>
      </c>
      <c r="E32" s="14">
        <f>SUMIFS('Term Loan'!$P:$P,'Term Loan'!$K:$K,Summary!$B32,'Term Loan'!$V:$V,Summary!E$28)</f>
        <v>0</v>
      </c>
      <c r="F32" s="14">
        <f>SUMIFS('Term Loan'!$P:$P,'Term Loan'!$K:$K,Summary!$B32,'Term Loan'!$V:$V,Summary!F$28)</f>
        <v>0</v>
      </c>
      <c r="G32" s="14">
        <f>SUMIFS('Term Loan'!$P:$P,'Term Loan'!$K:$K,Summary!$B32,'Term Loan'!$V:$V,Summary!G$28)</f>
        <v>0</v>
      </c>
      <c r="H32" s="14">
        <f>SUMIFS('Term Loan'!$P:$P,'Term Loan'!$K:$K,Summary!$B32,'Term Loan'!$V:$V,Summary!H$28)</f>
        <v>0</v>
      </c>
      <c r="I32" s="20">
        <f>SUM($C32:$H32)</f>
        <v>0</v>
      </c>
      <c r="J32" s="15">
        <f>+$I32-$H32</f>
        <v>0</v>
      </c>
      <c r="L32" s="16" t="str">
        <f t="shared" si="23"/>
        <v>N/A</v>
      </c>
      <c r="M32" s="16" t="str">
        <f t="shared" si="24"/>
        <v>N/A</v>
      </c>
      <c r="N32" s="16" t="e">
        <f t="shared" si="25"/>
        <v>#DIV/0!</v>
      </c>
      <c r="O32" s="16" t="e">
        <f t="shared" si="26"/>
        <v>#DIV/0!</v>
      </c>
    </row>
    <row r="33" spans="2:15" ht="15" customHeight="1" x14ac:dyDescent="0.25">
      <c r="B33" s="1" t="s">
        <v>368</v>
      </c>
      <c r="C33" s="14">
        <f>SUMIFS('Term Loan'!$P:$P,'Term Loan'!$K:$K,Summary!$B33,'Term Loan'!$V:$V,Summary!C$28)</f>
        <v>0</v>
      </c>
      <c r="D33" s="14">
        <f>SUMIFS('Term Loan'!$P:$P,'Term Loan'!$K:$K,Summary!$B33,'Term Loan'!$V:$V,Summary!D$28)</f>
        <v>0</v>
      </c>
      <c r="E33" s="14">
        <f>SUMIFS('Term Loan'!$P:$P,'Term Loan'!$K:$K,Summary!$B33,'Term Loan'!$V:$V,Summary!E$28)</f>
        <v>0</v>
      </c>
      <c r="F33" s="14">
        <f>SUMIFS('Term Loan'!$P:$P,'Term Loan'!$K:$K,Summary!$B33,'Term Loan'!$V:$V,Summary!F$28)</f>
        <v>0</v>
      </c>
      <c r="G33" s="14">
        <f>SUMIFS('Term Loan'!$P:$P,'Term Loan'!$K:$K,Summary!$B33,'Term Loan'!$V:$V,Summary!G$28)</f>
        <v>0</v>
      </c>
      <c r="H33" s="14">
        <f>SUMIFS('Term Loan'!$P:$P,'Term Loan'!$K:$K,Summary!$B33,'Term Loan'!$V:$V,Summary!H$28)</f>
        <v>0</v>
      </c>
      <c r="I33" s="20">
        <f t="shared" ref="I33" si="27">SUM($C33:$H33)</f>
        <v>0</v>
      </c>
      <c r="J33" s="15">
        <f t="shared" ref="J33" si="28">+$I33-$H33</f>
        <v>0</v>
      </c>
      <c r="L33" s="16" t="str">
        <f t="shared" si="23"/>
        <v>N/A</v>
      </c>
      <c r="M33" s="16" t="str">
        <f t="shared" si="24"/>
        <v>N/A</v>
      </c>
      <c r="N33" s="16" t="e">
        <f t="shared" si="25"/>
        <v>#DIV/0!</v>
      </c>
      <c r="O33" s="16" t="e">
        <f t="shared" si="26"/>
        <v>#DIV/0!</v>
      </c>
    </row>
    <row r="34" spans="2:15" ht="15" customHeight="1" x14ac:dyDescent="0.25">
      <c r="B34" s="21" t="s">
        <v>387</v>
      </c>
      <c r="C34" s="22">
        <f>SUM(C$29:C$33)</f>
        <v>0</v>
      </c>
      <c r="D34" s="22">
        <f t="shared" ref="D34:J34" si="29">SUM(D$29:D$33)</f>
        <v>0</v>
      </c>
      <c r="E34" s="22">
        <f t="shared" si="29"/>
        <v>0</v>
      </c>
      <c r="F34" s="22">
        <f t="shared" si="29"/>
        <v>0</v>
      </c>
      <c r="G34" s="22">
        <f t="shared" si="29"/>
        <v>0</v>
      </c>
      <c r="H34" s="22">
        <f t="shared" si="29"/>
        <v>0</v>
      </c>
      <c r="I34" s="23">
        <f t="shared" si="29"/>
        <v>0</v>
      </c>
      <c r="J34" s="24">
        <f t="shared" si="29"/>
        <v>0</v>
      </c>
      <c r="L34" s="25" t="str">
        <f>IFERROR(SUM($E34:$G34)/$J34,"N/A")</f>
        <v>N/A</v>
      </c>
      <c r="M34" s="26" t="str">
        <f>IFERROR(SUM($F34:$G34)/$J34,"N/A")</f>
        <v>N/A</v>
      </c>
      <c r="N34" s="26" t="e">
        <f>+$G34/$J34</f>
        <v>#DIV/0!</v>
      </c>
      <c r="O34" s="27" t="e">
        <f>+$H34/$J34</f>
        <v>#DIV/0!</v>
      </c>
    </row>
    <row r="36" spans="2:15" ht="15" customHeight="1" x14ac:dyDescent="0.25">
      <c r="B36" s="28" t="s">
        <v>406</v>
      </c>
      <c r="C36" s="34">
        <f>+C$29</f>
        <v>0</v>
      </c>
      <c r="D36" s="34">
        <f t="shared" ref="D36:J36" si="30">+D$29</f>
        <v>0</v>
      </c>
      <c r="E36" s="34">
        <f t="shared" si="30"/>
        <v>0</v>
      </c>
      <c r="F36" s="34">
        <f t="shared" si="30"/>
        <v>0</v>
      </c>
      <c r="G36" s="34">
        <f t="shared" si="30"/>
        <v>0</v>
      </c>
      <c r="H36" s="34">
        <f t="shared" si="30"/>
        <v>0</v>
      </c>
      <c r="I36" s="41">
        <f t="shared" si="30"/>
        <v>0</v>
      </c>
      <c r="J36" s="42">
        <f t="shared" si="30"/>
        <v>0</v>
      </c>
      <c r="L36" s="32" t="str">
        <f>IFERROR(SUM($E36:$G36)/$J36,"N/A")</f>
        <v>N/A</v>
      </c>
      <c r="M36" s="32" t="str">
        <f>IFERROR(SUM($F36:$G36)/$J36,"N/A")</f>
        <v>N/A</v>
      </c>
      <c r="N36" s="32" t="e">
        <f>+$G36/$J36</f>
        <v>#DIV/0!</v>
      </c>
      <c r="O36" s="32" t="e">
        <f>+$H36/$J36</f>
        <v>#DIV/0!</v>
      </c>
    </row>
    <row r="37" spans="2:15" ht="15" customHeight="1" x14ac:dyDescent="0.25">
      <c r="B37" s="30" t="s">
        <v>407</v>
      </c>
      <c r="C37" s="36">
        <f>+C$31+C$33</f>
        <v>0</v>
      </c>
      <c r="D37" s="36">
        <f t="shared" ref="D37:J37" si="31">+D$31+D$33</f>
        <v>0</v>
      </c>
      <c r="E37" s="36">
        <f t="shared" si="31"/>
        <v>0</v>
      </c>
      <c r="F37" s="36">
        <f t="shared" si="31"/>
        <v>0</v>
      </c>
      <c r="G37" s="36">
        <f t="shared" si="31"/>
        <v>0</v>
      </c>
      <c r="H37" s="36">
        <f t="shared" si="31"/>
        <v>0</v>
      </c>
      <c r="I37" s="43">
        <f t="shared" si="31"/>
        <v>0</v>
      </c>
      <c r="J37" s="35">
        <f t="shared" si="31"/>
        <v>0</v>
      </c>
      <c r="L37" s="33" t="str">
        <f t="shared" ref="L37:L38" si="32">IFERROR(SUM($E37:$G37)/$J37,"N/A")</f>
        <v>N/A</v>
      </c>
      <c r="M37" s="33" t="str">
        <f t="shared" ref="M37:M38" si="33">IFERROR(SUM($F37:$G37)/$J37,"N/A")</f>
        <v>N/A</v>
      </c>
      <c r="N37" s="33" t="e">
        <f t="shared" ref="N37:N38" si="34">+$G37/$J37</f>
        <v>#DIV/0!</v>
      </c>
      <c r="O37" s="33" t="e">
        <f t="shared" ref="O37:O38" si="35">+$H37/$J37</f>
        <v>#DIV/0!</v>
      </c>
    </row>
    <row r="38" spans="2:15" ht="15" customHeight="1" x14ac:dyDescent="0.25">
      <c r="B38" s="21" t="s">
        <v>408</v>
      </c>
      <c r="C38" s="59">
        <f>SUM(C$36:C$37)</f>
        <v>0</v>
      </c>
      <c r="D38" s="59">
        <f t="shared" ref="D38:J38" si="36">SUM(D$36:D$37)</f>
        <v>0</v>
      </c>
      <c r="E38" s="59">
        <f t="shared" si="36"/>
        <v>0</v>
      </c>
      <c r="F38" s="59">
        <f t="shared" si="36"/>
        <v>0</v>
      </c>
      <c r="G38" s="59">
        <f t="shared" si="36"/>
        <v>0</v>
      </c>
      <c r="H38" s="59">
        <f t="shared" si="36"/>
        <v>0</v>
      </c>
      <c r="I38" s="23">
        <f t="shared" si="36"/>
        <v>0</v>
      </c>
      <c r="J38" s="24">
        <f t="shared" si="36"/>
        <v>0</v>
      </c>
      <c r="L38" s="25" t="str">
        <f t="shared" si="32"/>
        <v>N/A</v>
      </c>
      <c r="M38" s="26" t="str">
        <f t="shared" si="33"/>
        <v>N/A</v>
      </c>
      <c r="N38" s="26" t="e">
        <f t="shared" si="34"/>
        <v>#DIV/0!</v>
      </c>
      <c r="O38" s="27" t="e">
        <f t="shared" si="35"/>
        <v>#DIV/0!</v>
      </c>
    </row>
    <row r="40" spans="2:15" ht="15" customHeight="1" x14ac:dyDescent="0.25">
      <c r="B40" s="28" t="s">
        <v>369</v>
      </c>
      <c r="C40" s="34">
        <f>SUMIFS('Term Loan'!$P:$P,'Term Loan'!$N:$N,Summary!$B40,'Term Loan'!$V:$V,Summary!C$28)</f>
        <v>0</v>
      </c>
      <c r="D40" s="34">
        <f>SUMIFS('Term Loan'!$P:$P,'Term Loan'!$N:$N,Summary!$B40,'Term Loan'!$V:$V,Summary!D$28)</f>
        <v>0</v>
      </c>
      <c r="E40" s="34">
        <f>SUMIFS('Term Loan'!$P:$P,'Term Loan'!$N:$N,Summary!$B40,'Term Loan'!$V:$V,Summary!E$28)</f>
        <v>0</v>
      </c>
      <c r="F40" s="34">
        <f>SUMIFS('Term Loan'!$P:$P,'Term Loan'!$N:$N,Summary!$B40,'Term Loan'!$V:$V,Summary!F$28)</f>
        <v>0</v>
      </c>
      <c r="G40" s="34">
        <f>SUMIFS('Term Loan'!$P:$P,'Term Loan'!$N:$N,Summary!$B40,'Term Loan'!$V:$V,Summary!G$28)</f>
        <v>0</v>
      </c>
      <c r="H40" s="34">
        <f>SUMIFS('Term Loan'!$P:$P,'Term Loan'!$N:$N,Summary!$B40,'Term Loan'!$V:$V,Summary!H$28)</f>
        <v>0</v>
      </c>
      <c r="I40" s="41">
        <f>SUM($C40:$H40)</f>
        <v>0</v>
      </c>
      <c r="J40" s="42">
        <f>+$I40-$H40</f>
        <v>0</v>
      </c>
      <c r="L40" s="32" t="str">
        <f>IFERROR(SUM($E40:$G40)/$J40,"N/A")</f>
        <v>N/A</v>
      </c>
      <c r="M40" s="32" t="str">
        <f>IFERROR(SUM($F40:$G40)/$J40,"N/A")</f>
        <v>N/A</v>
      </c>
      <c r="N40" s="32" t="e">
        <f>+$G40/$J40</f>
        <v>#DIV/0!</v>
      </c>
      <c r="O40" s="32" t="e">
        <f>+$H40/$J40</f>
        <v>#DIV/0!</v>
      </c>
    </row>
    <row r="41" spans="2:15" ht="15" customHeight="1" x14ac:dyDescent="0.25">
      <c r="B41" s="30" t="s">
        <v>370</v>
      </c>
      <c r="C41" s="36">
        <f>SUMIFS('Term Loan'!$P:$P,'Term Loan'!$N:$N,Summary!$B41,'Term Loan'!$V:$V,Summary!C$28)</f>
        <v>0</v>
      </c>
      <c r="D41" s="36">
        <f>SUMIFS('Term Loan'!$P:$P,'Term Loan'!$N:$N,Summary!$B41,'Term Loan'!$V:$V,Summary!D$28)</f>
        <v>0</v>
      </c>
      <c r="E41" s="36">
        <f>SUMIFS('Term Loan'!$P:$P,'Term Loan'!$N:$N,Summary!$B41,'Term Loan'!$V:$V,Summary!E$28)</f>
        <v>0</v>
      </c>
      <c r="F41" s="36">
        <f>SUMIFS('Term Loan'!$P:$P,'Term Loan'!$N:$N,Summary!$B41,'Term Loan'!$V:$V,Summary!F$28)</f>
        <v>0</v>
      </c>
      <c r="G41" s="36">
        <f>SUMIFS('Term Loan'!$P:$P,'Term Loan'!$N:$N,Summary!$B41,'Term Loan'!$V:$V,Summary!G$28)</f>
        <v>0</v>
      </c>
      <c r="H41" s="36">
        <f>SUMIFS('Term Loan'!$P:$P,'Term Loan'!$N:$N,Summary!$B41,'Term Loan'!$V:$V,Summary!H$28)</f>
        <v>0</v>
      </c>
      <c r="I41" s="43">
        <f>SUM($C41:$H41)</f>
        <v>0</v>
      </c>
      <c r="J41" s="35">
        <f>+$I41-$H41</f>
        <v>0</v>
      </c>
      <c r="L41" s="33" t="str">
        <f>IFERROR(SUM($E41:$G41)/$J41,"N/A")</f>
        <v>N/A</v>
      </c>
      <c r="M41" s="33" t="str">
        <f>IFERROR(SUM($F41:$G41)/$J41,"N/A")</f>
        <v>N/A</v>
      </c>
      <c r="N41" s="33" t="e">
        <f>+$G41/$J41</f>
        <v>#DIV/0!</v>
      </c>
      <c r="O41" s="33" t="e">
        <f>+$H41/$J41</f>
        <v>#DIV/0!</v>
      </c>
    </row>
    <row r="47" spans="2:15" ht="15" customHeight="1" x14ac:dyDescent="0.25">
      <c r="H47" s="9"/>
      <c r="I47" s="14"/>
    </row>
    <row r="48" spans="2:15" ht="15" customHeight="1" x14ac:dyDescent="0.25">
      <c r="H48" s="9"/>
      <c r="I48" s="14"/>
    </row>
    <row r="49" spans="8:9" ht="15" customHeight="1" x14ac:dyDescent="0.25">
      <c r="H49" s="9"/>
      <c r="I49" s="14"/>
    </row>
    <row r="50" spans="8:9" ht="15" customHeight="1" x14ac:dyDescent="0.25">
      <c r="H50" s="9"/>
      <c r="I5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5DFD-35DC-41BF-8261-E4848D8EF37C}">
  <dimension ref="B1:BG4"/>
  <sheetViews>
    <sheetView tabSelected="1" zoomScale="85" zoomScaleNormal="85" workbookViewId="0">
      <pane ySplit="4" topLeftCell="A5" activePane="bottomLeft" state="frozen"/>
      <selection pane="bottomLeft" activeCell="A5" sqref="A5:XFD1048576"/>
    </sheetView>
  </sheetViews>
  <sheetFormatPr defaultRowHeight="15" x14ac:dyDescent="0.25"/>
  <cols>
    <col min="2" max="2" width="13.7109375" bestFit="1" customWidth="1"/>
    <col min="3" max="3" width="20.28515625" bestFit="1" customWidth="1"/>
    <col min="4" max="4" width="40.7109375" bestFit="1" customWidth="1"/>
    <col min="5" max="5" width="17.42578125" bestFit="1" customWidth="1"/>
    <col min="6" max="6" width="15.42578125" bestFit="1" customWidth="1"/>
    <col min="7" max="7" width="18.7109375" bestFit="1" customWidth="1"/>
    <col min="8" max="8" width="61.140625" bestFit="1" customWidth="1"/>
    <col min="9" max="9" width="75.5703125" bestFit="1" customWidth="1"/>
    <col min="10" max="10" width="78" bestFit="1" customWidth="1"/>
    <col min="11" max="11" width="22.140625" bestFit="1" customWidth="1"/>
    <col min="12" max="12" width="32.140625" bestFit="1" customWidth="1"/>
    <col min="13" max="13" width="21.85546875" bestFit="1" customWidth="1"/>
    <col min="14" max="14" width="14.28515625" bestFit="1" customWidth="1"/>
    <col min="15" max="15" width="13.28515625" bestFit="1" customWidth="1"/>
    <col min="16" max="16" width="20.42578125" bestFit="1" customWidth="1"/>
    <col min="17" max="17" width="21.85546875" bestFit="1" customWidth="1"/>
    <col min="18" max="19" width="25.42578125" bestFit="1" customWidth="1"/>
    <col min="20" max="20" width="31" bestFit="1" customWidth="1"/>
    <col min="21" max="21" width="23.140625" bestFit="1" customWidth="1"/>
    <col min="22" max="22" width="18.85546875" bestFit="1" customWidth="1"/>
    <col min="23" max="23" width="27.42578125" bestFit="1" customWidth="1"/>
    <col min="24" max="24" width="22.5703125" bestFit="1" customWidth="1"/>
    <col min="25" max="25" width="26.140625" bestFit="1" customWidth="1"/>
    <col min="26" max="26" width="19" customWidth="1"/>
    <col min="27" max="27" width="22.140625" bestFit="1" customWidth="1"/>
    <col min="28" max="28" width="28" bestFit="1" customWidth="1"/>
    <col min="29" max="29" width="31" bestFit="1" customWidth="1"/>
    <col min="30" max="30" width="27.5703125" bestFit="1" customWidth="1"/>
    <col min="31" max="31" width="21" bestFit="1" customWidth="1"/>
    <col min="32" max="32" width="31.7109375" bestFit="1" customWidth="1"/>
    <col min="33" max="33" width="25" bestFit="1" customWidth="1"/>
    <col min="34" max="34" width="26.42578125" bestFit="1" customWidth="1"/>
    <col min="35" max="35" width="29.28515625" bestFit="1" customWidth="1"/>
    <col min="36" max="36" width="22.42578125" bestFit="1" customWidth="1"/>
    <col min="37" max="37" width="29.7109375" bestFit="1" customWidth="1"/>
    <col min="38" max="38" width="15.5703125" bestFit="1" customWidth="1"/>
    <col min="39" max="39" width="21.7109375" bestFit="1" customWidth="1"/>
    <col min="40" max="40" width="21.42578125" bestFit="1" customWidth="1"/>
    <col min="41" max="41" width="21.28515625" bestFit="1" customWidth="1"/>
    <col min="42" max="42" width="26.28515625" bestFit="1" customWidth="1"/>
    <col min="43" max="43" width="33.5703125" bestFit="1" customWidth="1"/>
    <col min="44" max="44" width="22" bestFit="1" customWidth="1"/>
    <col min="45" max="45" width="19.140625" bestFit="1" customWidth="1"/>
    <col min="46" max="46" width="14.7109375" bestFit="1" customWidth="1"/>
    <col min="47" max="47" width="38.42578125" bestFit="1" customWidth="1"/>
    <col min="48" max="48" width="73.42578125" bestFit="1" customWidth="1"/>
    <col min="49" max="49" width="27.5703125" bestFit="1" customWidth="1"/>
    <col min="50" max="50" width="15.140625" bestFit="1" customWidth="1"/>
    <col min="51" max="51" width="20.140625" bestFit="1" customWidth="1"/>
    <col min="52" max="52" width="23.28515625" bestFit="1" customWidth="1"/>
    <col min="53" max="53" width="23.140625" bestFit="1" customWidth="1"/>
    <col min="54" max="54" width="23.28515625" bestFit="1" customWidth="1"/>
    <col min="55" max="55" width="20.42578125" bestFit="1" customWidth="1"/>
    <col min="56" max="56" width="23.28515625" bestFit="1" customWidth="1"/>
    <col min="57" max="57" width="22" bestFit="1" customWidth="1"/>
    <col min="58" max="58" width="22.140625" bestFit="1" customWidth="1"/>
    <col min="59" max="59" width="20.7109375" bestFit="1" customWidth="1"/>
  </cols>
  <sheetData>
    <row r="1" spans="2:59" ht="15" customHeight="1" x14ac:dyDescent="0.25">
      <c r="V1" s="9" t="s">
        <v>154</v>
      </c>
    </row>
    <row r="2" spans="2:59" ht="15" customHeight="1" x14ac:dyDescent="0.25">
      <c r="B2" s="7" t="s">
        <v>365</v>
      </c>
    </row>
    <row r="3" spans="2:59" ht="15" customHeight="1" x14ac:dyDescent="0.25">
      <c r="V3" s="51">
        <f>+'Bridge Asset'!$CK$3</f>
        <v>46081</v>
      </c>
      <c r="Z3" s="15" t="e">
        <f>SUBTOTAL(9,#REF!)</f>
        <v>#REF!</v>
      </c>
    </row>
    <row r="4" spans="2:59" ht="45" customHeight="1" x14ac:dyDescent="0.25">
      <c r="B4" s="48" t="s">
        <v>122</v>
      </c>
      <c r="C4" s="48" t="s">
        <v>123</v>
      </c>
      <c r="D4" s="48" t="s">
        <v>124</v>
      </c>
      <c r="E4" s="48" t="s">
        <v>117</v>
      </c>
      <c r="F4" s="48" t="s">
        <v>118</v>
      </c>
      <c r="G4" s="48" t="s">
        <v>119</v>
      </c>
      <c r="H4" s="48" t="s">
        <v>125</v>
      </c>
      <c r="I4" s="48" t="s">
        <v>9</v>
      </c>
      <c r="J4" s="48" t="s">
        <v>344</v>
      </c>
      <c r="K4" s="48" t="s">
        <v>128</v>
      </c>
      <c r="L4" s="48" t="s">
        <v>129</v>
      </c>
      <c r="M4" s="48" t="s">
        <v>345</v>
      </c>
      <c r="N4" s="48" t="s">
        <v>138</v>
      </c>
      <c r="O4" s="48" t="s">
        <v>346</v>
      </c>
      <c r="P4" s="48" t="s">
        <v>42</v>
      </c>
      <c r="Q4" s="48" t="s">
        <v>142</v>
      </c>
      <c r="R4" s="48" t="s">
        <v>347</v>
      </c>
      <c r="S4" s="48" t="s">
        <v>348</v>
      </c>
      <c r="T4" s="48" t="s">
        <v>349</v>
      </c>
      <c r="U4" s="48" t="s">
        <v>143</v>
      </c>
      <c r="V4" s="48" t="s">
        <v>329</v>
      </c>
      <c r="W4" s="48" t="s">
        <v>350</v>
      </c>
      <c r="X4" s="48" t="s">
        <v>351</v>
      </c>
      <c r="Y4" s="48" t="s">
        <v>352</v>
      </c>
      <c r="Z4" s="48" t="str">
        <f>+'Bridge Asset'!$AI$4</f>
        <v>2/28 UPB</v>
      </c>
      <c r="AA4" s="48" t="s">
        <v>324</v>
      </c>
      <c r="AB4" s="48" t="s">
        <v>353</v>
      </c>
      <c r="AC4" s="48" t="s">
        <v>331</v>
      </c>
      <c r="AD4" s="48" t="s">
        <v>332</v>
      </c>
      <c r="AE4" s="48" t="s">
        <v>333</v>
      </c>
      <c r="AF4" s="48" t="s">
        <v>172</v>
      </c>
      <c r="AG4" s="48" t="s">
        <v>173</v>
      </c>
      <c r="AH4" s="48" t="s">
        <v>354</v>
      </c>
      <c r="AI4" s="48" t="s">
        <v>355</v>
      </c>
      <c r="AJ4" s="48" t="s">
        <v>176</v>
      </c>
      <c r="AK4" s="48" t="s">
        <v>177</v>
      </c>
      <c r="AL4" s="48" t="s">
        <v>194</v>
      </c>
      <c r="AM4" s="48" t="s">
        <v>182</v>
      </c>
      <c r="AN4" s="48" t="s">
        <v>183</v>
      </c>
      <c r="AO4" s="48" t="s">
        <v>356</v>
      </c>
      <c r="AP4" s="48" t="s">
        <v>357</v>
      </c>
      <c r="AQ4" s="48" t="s">
        <v>186</v>
      </c>
      <c r="AR4" s="48" t="s">
        <v>187</v>
      </c>
      <c r="AS4" s="48" t="s">
        <v>358</v>
      </c>
      <c r="AT4" s="48" t="s">
        <v>190</v>
      </c>
      <c r="AU4" s="48" t="s">
        <v>191</v>
      </c>
      <c r="AV4" s="48" t="s">
        <v>192</v>
      </c>
      <c r="AW4" s="48" t="s">
        <v>193</v>
      </c>
      <c r="AX4" s="48" t="s">
        <v>399</v>
      </c>
      <c r="AY4" s="48" t="s">
        <v>409</v>
      </c>
      <c r="AZ4" s="48" t="s">
        <v>359</v>
      </c>
      <c r="BA4" s="48" t="s">
        <v>148</v>
      </c>
      <c r="BB4" s="48" t="s">
        <v>149</v>
      </c>
      <c r="BC4" s="48" t="s">
        <v>150</v>
      </c>
      <c r="BD4" s="48" t="s">
        <v>151</v>
      </c>
      <c r="BE4" s="48" t="s">
        <v>152</v>
      </c>
      <c r="BF4" s="48" t="s">
        <v>325</v>
      </c>
      <c r="BG4" s="48" t="s">
        <v>360</v>
      </c>
    </row>
  </sheetData>
  <autoFilter ref="B4:BG4" xr:uid="{59D15DFD-35DC-41BF-8261-E4848D8EF37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9F2C-E594-43F7-8130-ECB964BCA101}">
  <dimension ref="B1:DA4"/>
  <sheetViews>
    <sheetView zoomScale="85" zoomScaleNormal="85" workbookViewId="0">
      <pane ySplit="4" topLeftCell="A5" activePane="bottomLeft" state="frozen"/>
      <selection pane="bottomLeft" activeCell="G15" sqref="G15"/>
    </sheetView>
  </sheetViews>
  <sheetFormatPr defaultRowHeight="15" x14ac:dyDescent="0.25"/>
  <cols>
    <col min="2" max="2" width="13.7109375" bestFit="1" customWidth="1"/>
    <col min="3" max="3" width="20.28515625" bestFit="1" customWidth="1"/>
    <col min="4" max="4" width="40.7109375" bestFit="1" customWidth="1"/>
    <col min="5" max="5" width="17.42578125" bestFit="1" customWidth="1"/>
    <col min="6" max="6" width="15.42578125" bestFit="1" customWidth="1"/>
    <col min="7" max="7" width="18.7109375" bestFit="1" customWidth="1"/>
    <col min="8" max="8" width="15.28515625" bestFit="1" customWidth="1"/>
    <col min="9" max="9" width="13.5703125" bestFit="1" customWidth="1"/>
    <col min="10" max="10" width="61.140625" bestFit="1" customWidth="1"/>
    <col min="11" max="11" width="75.5703125" bestFit="1" customWidth="1"/>
    <col min="12" max="12" width="78" bestFit="1" customWidth="1"/>
    <col min="13" max="13" width="22.140625" bestFit="1" customWidth="1"/>
    <col min="14" max="14" width="32.140625" bestFit="1" customWidth="1"/>
    <col min="15" max="15" width="77.28515625" bestFit="1" customWidth="1"/>
    <col min="16" max="16" width="22.42578125" bestFit="1" customWidth="1"/>
    <col min="17" max="17" width="10.85546875" bestFit="1" customWidth="1"/>
    <col min="18" max="18" width="13.28515625" bestFit="1" customWidth="1"/>
    <col min="19" max="19" width="19" bestFit="1" customWidth="1"/>
    <col min="20" max="20" width="45.140625" bestFit="1" customWidth="1"/>
    <col min="21" max="21" width="10.28515625" bestFit="1" customWidth="1"/>
    <col min="22" max="22" width="20.140625" bestFit="1" customWidth="1"/>
    <col min="23" max="23" width="14.28515625" bestFit="1" customWidth="1"/>
    <col min="24" max="24" width="21.42578125" bestFit="1" customWidth="1"/>
    <col min="25" max="25" width="16.28515625" bestFit="1" customWidth="1"/>
    <col min="26" max="26" width="20.42578125" bestFit="1" customWidth="1"/>
    <col min="27" max="27" width="22.140625" bestFit="1" customWidth="1"/>
    <col min="28" max="28" width="21.85546875" bestFit="1" customWidth="1"/>
    <col min="29" max="29" width="23.140625" bestFit="1" customWidth="1"/>
    <col min="30" max="31" width="30.140625" bestFit="1" customWidth="1"/>
    <col min="32" max="32" width="30.85546875" bestFit="1" customWidth="1"/>
    <col min="33" max="33" width="31.140625" bestFit="1" customWidth="1"/>
    <col min="34" max="34" width="22.5703125" bestFit="1" customWidth="1"/>
    <col min="35" max="35" width="21.5703125" customWidth="1"/>
    <col min="36" max="36" width="22.140625" bestFit="1" customWidth="1"/>
    <col min="37" max="37" width="23.140625" bestFit="1" customWidth="1"/>
    <col min="38" max="38" width="23.28515625" bestFit="1" customWidth="1"/>
    <col min="39" max="39" width="20.42578125" bestFit="1" customWidth="1"/>
    <col min="40" max="40" width="23.28515625" bestFit="1" customWidth="1"/>
    <col min="41" max="41" width="22" bestFit="1" customWidth="1"/>
    <col min="42" max="42" width="22.140625" bestFit="1" customWidth="1"/>
    <col min="43" max="43" width="35.140625" bestFit="1" customWidth="1"/>
    <col min="44" max="44" width="23.140625" bestFit="1" customWidth="1"/>
    <col min="45" max="45" width="19.28515625" bestFit="1" customWidth="1"/>
    <col min="46" max="46" width="25" bestFit="1" customWidth="1"/>
    <col min="47" max="47" width="24" bestFit="1" customWidth="1"/>
    <col min="48" max="48" width="27.28515625" bestFit="1" customWidth="1"/>
    <col min="49" max="49" width="37.42578125" bestFit="1" customWidth="1"/>
    <col min="50" max="50" width="32.28515625" bestFit="1" customWidth="1"/>
    <col min="51" max="51" width="26.85546875" bestFit="1" customWidth="1"/>
    <col min="52" max="52" width="14.42578125" bestFit="1" customWidth="1"/>
    <col min="53" max="53" width="23.85546875" bestFit="1" customWidth="1"/>
    <col min="54" max="54" width="26.28515625" bestFit="1" customWidth="1"/>
    <col min="55" max="55" width="19.85546875" bestFit="1" customWidth="1"/>
    <col min="56" max="56" width="36.5703125" bestFit="1" customWidth="1"/>
    <col min="57" max="57" width="27.140625" bestFit="1" customWidth="1"/>
    <col min="58" max="58" width="23.7109375" bestFit="1" customWidth="1"/>
    <col min="59" max="59" width="17.28515625" bestFit="1" customWidth="1"/>
    <col min="60" max="60" width="31.7109375" bestFit="1" customWidth="1"/>
    <col min="61" max="61" width="25" bestFit="1" customWidth="1"/>
    <col min="62" max="62" width="32.42578125" bestFit="1" customWidth="1"/>
    <col min="63" max="63" width="35.42578125" bestFit="1" customWidth="1"/>
    <col min="64" max="64" width="22.42578125" bestFit="1" customWidth="1"/>
    <col min="65" max="65" width="29.7109375" bestFit="1" customWidth="1"/>
    <col min="66" max="66" width="107" bestFit="1" customWidth="1"/>
    <col min="67" max="67" width="17.42578125" bestFit="1" customWidth="1"/>
    <col min="68" max="68" width="18.5703125" bestFit="1" customWidth="1"/>
    <col min="69" max="69" width="20.85546875" bestFit="1" customWidth="1"/>
    <col min="70" max="70" width="21.7109375" bestFit="1" customWidth="1"/>
    <col min="71" max="71" width="21.42578125" bestFit="1" customWidth="1"/>
    <col min="72" max="72" width="21.5703125" bestFit="1" customWidth="1"/>
    <col min="73" max="73" width="26.28515625" bestFit="1" customWidth="1"/>
    <col min="74" max="74" width="33.5703125" bestFit="1" customWidth="1"/>
    <col min="75" max="75" width="22" bestFit="1" customWidth="1"/>
    <col min="76" max="76" width="18.140625" bestFit="1" customWidth="1"/>
    <col min="77" max="77" width="19.140625" bestFit="1" customWidth="1"/>
    <col min="78" max="78" width="14.7109375" bestFit="1" customWidth="1"/>
    <col min="79" max="79" width="38.42578125" bestFit="1" customWidth="1"/>
    <col min="80" max="80" width="73.42578125" bestFit="1" customWidth="1"/>
    <col min="81" max="81" width="27.5703125" bestFit="1" customWidth="1"/>
    <col min="82" max="82" width="15.5703125" bestFit="1" customWidth="1"/>
    <col min="83" max="83" width="19.5703125" bestFit="1" customWidth="1"/>
    <col min="84" max="84" width="19.28515625" bestFit="1" customWidth="1"/>
    <col min="85" max="85" width="26" bestFit="1" customWidth="1"/>
    <col min="86" max="86" width="20.85546875" style="11" bestFit="1" customWidth="1"/>
    <col min="87" max="87" width="23.42578125" bestFit="1" customWidth="1"/>
    <col min="88" max="88" width="17.85546875" bestFit="1" customWidth="1"/>
    <col min="89" max="89" width="20.28515625" bestFit="1" customWidth="1"/>
    <col min="90" max="90" width="18.85546875" bestFit="1" customWidth="1"/>
    <col min="91" max="91" width="15" bestFit="1" customWidth="1"/>
    <col min="92" max="92" width="31" bestFit="1" customWidth="1"/>
    <col min="93" max="93" width="27.5703125" bestFit="1" customWidth="1"/>
    <col min="94" max="94" width="21" bestFit="1" customWidth="1"/>
    <col min="95" max="95" width="21" customWidth="1"/>
    <col min="96" max="96" width="21" bestFit="1" customWidth="1"/>
    <col min="97" max="97" width="21" customWidth="1"/>
    <col min="98" max="98" width="17.140625" bestFit="1" customWidth="1"/>
    <col min="99" max="99" width="20.28515625" bestFit="1" customWidth="1"/>
    <col min="100" max="100" width="20.28515625" customWidth="1"/>
    <col min="101" max="101" width="22.42578125" bestFit="1" customWidth="1"/>
    <col min="102" max="102" width="22" bestFit="1" customWidth="1"/>
    <col min="103" max="103" width="17.85546875" bestFit="1" customWidth="1"/>
    <col min="104" max="104" width="20" bestFit="1" customWidth="1"/>
    <col min="105" max="105" width="16.42578125" bestFit="1" customWidth="1"/>
  </cols>
  <sheetData>
    <row r="1" spans="2:105" x14ac:dyDescent="0.25">
      <c r="AH1" s="9" t="s">
        <v>154</v>
      </c>
      <c r="CH1" s="50" t="s">
        <v>154</v>
      </c>
      <c r="CI1" s="9" t="s">
        <v>154</v>
      </c>
      <c r="CJ1" s="9" t="s">
        <v>154</v>
      </c>
      <c r="CK1" s="9" t="s">
        <v>154</v>
      </c>
      <c r="CL1" s="9" t="s">
        <v>154</v>
      </c>
      <c r="CM1" s="9" t="s">
        <v>154</v>
      </c>
      <c r="CN1" s="9" t="s">
        <v>154</v>
      </c>
      <c r="CO1" s="9" t="s">
        <v>154</v>
      </c>
      <c r="CP1" s="9" t="s">
        <v>154</v>
      </c>
      <c r="CQ1" s="9" t="s">
        <v>154</v>
      </c>
      <c r="CR1" s="9" t="s">
        <v>154</v>
      </c>
      <c r="CS1" s="9" t="s">
        <v>154</v>
      </c>
      <c r="CT1" s="9" t="s">
        <v>154</v>
      </c>
      <c r="CU1" s="9" t="s">
        <v>154</v>
      </c>
      <c r="CV1" s="9"/>
      <c r="CW1" s="9" t="s">
        <v>154</v>
      </c>
      <c r="CX1" s="9" t="s">
        <v>154</v>
      </c>
      <c r="CY1" s="9" t="s">
        <v>154</v>
      </c>
      <c r="CZ1" s="9" t="s">
        <v>154</v>
      </c>
      <c r="DA1" s="9" t="s">
        <v>154</v>
      </c>
    </row>
    <row r="2" spans="2:105" x14ac:dyDescent="0.25">
      <c r="B2" s="7" t="s">
        <v>343</v>
      </c>
      <c r="CZ2" s="10">
        <v>46112</v>
      </c>
    </row>
    <row r="3" spans="2:105" x14ac:dyDescent="0.25">
      <c r="AI3" s="58" t="e">
        <f>SUBTOTAL(9,#REF!)</f>
        <v>#REF!</v>
      </c>
      <c r="CK3" s="10">
        <v>46081</v>
      </c>
      <c r="CL3" s="10">
        <f>+$CK$3</f>
        <v>46081</v>
      </c>
      <c r="CQ3" s="10">
        <f>EDATE(CZ2,-6)</f>
        <v>45930</v>
      </c>
      <c r="CZ3" s="10">
        <f>+$CZ$2-90</f>
        <v>46022</v>
      </c>
    </row>
    <row r="4" spans="2:105" ht="37.5" customHeight="1" x14ac:dyDescent="0.25">
      <c r="B4" s="48" t="s">
        <v>122</v>
      </c>
      <c r="C4" s="48" t="s">
        <v>123</v>
      </c>
      <c r="D4" s="48" t="s">
        <v>124</v>
      </c>
      <c r="E4" s="48" t="s">
        <v>117</v>
      </c>
      <c r="F4" s="48" t="s">
        <v>118</v>
      </c>
      <c r="G4" s="48" t="s">
        <v>119</v>
      </c>
      <c r="H4" s="48" t="s">
        <v>120</v>
      </c>
      <c r="I4" s="48" t="s">
        <v>121</v>
      </c>
      <c r="J4" s="48" t="s">
        <v>125</v>
      </c>
      <c r="K4" s="48" t="s">
        <v>126</v>
      </c>
      <c r="L4" s="48" t="s">
        <v>127</v>
      </c>
      <c r="M4" s="48" t="s">
        <v>128</v>
      </c>
      <c r="N4" s="48" t="s">
        <v>129</v>
      </c>
      <c r="O4" s="48" t="s">
        <v>130</v>
      </c>
      <c r="P4" s="48" t="s">
        <v>131</v>
      </c>
      <c r="Q4" s="48" t="s">
        <v>132</v>
      </c>
      <c r="R4" s="48" t="s">
        <v>133</v>
      </c>
      <c r="S4" s="48" t="s">
        <v>134</v>
      </c>
      <c r="T4" s="48" t="s">
        <v>135</v>
      </c>
      <c r="U4" s="48" t="s">
        <v>136</v>
      </c>
      <c r="V4" s="48" t="s">
        <v>137</v>
      </c>
      <c r="W4" s="48" t="s">
        <v>138</v>
      </c>
      <c r="X4" s="48" t="s">
        <v>139</v>
      </c>
      <c r="Y4" s="48" t="s">
        <v>140</v>
      </c>
      <c r="Z4" s="48" t="s">
        <v>42</v>
      </c>
      <c r="AA4" s="48" t="s">
        <v>141</v>
      </c>
      <c r="AB4" s="48" t="s">
        <v>142</v>
      </c>
      <c r="AC4" s="48" t="s">
        <v>143</v>
      </c>
      <c r="AD4" s="48" t="s">
        <v>144</v>
      </c>
      <c r="AE4" s="48" t="s">
        <v>145</v>
      </c>
      <c r="AF4" s="48" t="s">
        <v>146</v>
      </c>
      <c r="AG4" s="48" t="s">
        <v>147</v>
      </c>
      <c r="AH4" s="48" t="s">
        <v>153</v>
      </c>
      <c r="AI4" s="48" t="s">
        <v>411</v>
      </c>
      <c r="AJ4" s="48" t="s">
        <v>324</v>
      </c>
      <c r="AK4" s="48" t="s">
        <v>148</v>
      </c>
      <c r="AL4" s="48" t="s">
        <v>149</v>
      </c>
      <c r="AM4" s="48" t="s">
        <v>150</v>
      </c>
      <c r="AN4" s="48" t="s">
        <v>151</v>
      </c>
      <c r="AO4" s="48" t="s">
        <v>152</v>
      </c>
      <c r="AP4" s="48" t="s">
        <v>325</v>
      </c>
      <c r="AQ4" s="48" t="s">
        <v>155</v>
      </c>
      <c r="AR4" s="48" t="s">
        <v>156</v>
      </c>
      <c r="AS4" s="48" t="s">
        <v>157</v>
      </c>
      <c r="AT4" s="48" t="s">
        <v>158</v>
      </c>
      <c r="AU4" s="48" t="s">
        <v>159</v>
      </c>
      <c r="AV4" s="48" t="s">
        <v>160</v>
      </c>
      <c r="AW4" s="48" t="s">
        <v>161</v>
      </c>
      <c r="AX4" s="48" t="s">
        <v>162</v>
      </c>
      <c r="AY4" s="48" t="s">
        <v>163</v>
      </c>
      <c r="AZ4" s="48" t="s">
        <v>164</v>
      </c>
      <c r="BA4" s="48" t="s">
        <v>165</v>
      </c>
      <c r="BB4" s="48" t="s">
        <v>166</v>
      </c>
      <c r="BC4" s="48" t="s">
        <v>167</v>
      </c>
      <c r="BD4" s="48" t="s">
        <v>168</v>
      </c>
      <c r="BE4" s="48" t="s">
        <v>169</v>
      </c>
      <c r="BF4" s="48" t="s">
        <v>170</v>
      </c>
      <c r="BG4" s="48" t="s">
        <v>171</v>
      </c>
      <c r="BH4" s="48" t="s">
        <v>172</v>
      </c>
      <c r="BI4" s="48" t="s">
        <v>173</v>
      </c>
      <c r="BJ4" s="48" t="s">
        <v>174</v>
      </c>
      <c r="BK4" s="48" t="s">
        <v>175</v>
      </c>
      <c r="BL4" s="48" t="s">
        <v>176</v>
      </c>
      <c r="BM4" s="48" t="s">
        <v>177</v>
      </c>
      <c r="BN4" s="48" t="s">
        <v>178</v>
      </c>
      <c r="BO4" s="48" t="s">
        <v>179</v>
      </c>
      <c r="BP4" s="48" t="s">
        <v>180</v>
      </c>
      <c r="BQ4" s="48" t="s">
        <v>181</v>
      </c>
      <c r="BR4" s="48" t="s">
        <v>182</v>
      </c>
      <c r="BS4" s="48" t="s">
        <v>183</v>
      </c>
      <c r="BT4" s="48" t="s">
        <v>184</v>
      </c>
      <c r="BU4" s="48" t="s">
        <v>185</v>
      </c>
      <c r="BV4" s="48" t="s">
        <v>186</v>
      </c>
      <c r="BW4" s="48" t="s">
        <v>187</v>
      </c>
      <c r="BX4" s="48" t="s">
        <v>188</v>
      </c>
      <c r="BY4" s="48" t="s">
        <v>189</v>
      </c>
      <c r="BZ4" s="48" t="s">
        <v>190</v>
      </c>
      <c r="CA4" s="48" t="s">
        <v>191</v>
      </c>
      <c r="CB4" s="48" t="s">
        <v>192</v>
      </c>
      <c r="CC4" s="48" t="s">
        <v>193</v>
      </c>
      <c r="CD4" s="48" t="s">
        <v>194</v>
      </c>
      <c r="CE4" s="48" t="s">
        <v>195</v>
      </c>
      <c r="CF4" s="48" t="s">
        <v>196</v>
      </c>
      <c r="CG4" s="56" t="s">
        <v>197</v>
      </c>
      <c r="CH4" s="49" t="s">
        <v>326</v>
      </c>
      <c r="CI4" s="57" t="s">
        <v>327</v>
      </c>
      <c r="CJ4" s="57" t="s">
        <v>39</v>
      </c>
      <c r="CK4" s="57" t="s">
        <v>328</v>
      </c>
      <c r="CL4" s="57" t="s">
        <v>329</v>
      </c>
      <c r="CM4" s="57" t="s">
        <v>330</v>
      </c>
      <c r="CN4" s="57" t="s">
        <v>331</v>
      </c>
      <c r="CO4" s="57" t="s">
        <v>332</v>
      </c>
      <c r="CP4" s="57" t="s">
        <v>333</v>
      </c>
      <c r="CQ4" s="57" t="s">
        <v>409</v>
      </c>
      <c r="CR4" s="57" t="s">
        <v>336</v>
      </c>
      <c r="CS4" s="57" t="s">
        <v>342</v>
      </c>
      <c r="CT4" s="57" t="s">
        <v>337</v>
      </c>
      <c r="CU4" s="57" t="s">
        <v>338</v>
      </c>
      <c r="CV4" s="57" t="s">
        <v>412</v>
      </c>
      <c r="CW4" s="57" t="s">
        <v>339</v>
      </c>
      <c r="CX4" s="57" t="s">
        <v>340</v>
      </c>
      <c r="CY4" s="57" t="s">
        <v>341</v>
      </c>
      <c r="CZ4" s="57" t="s">
        <v>398</v>
      </c>
      <c r="DA4" s="57" t="s">
        <v>335</v>
      </c>
    </row>
  </sheetData>
  <autoFilter ref="B4:DA4" xr:uid="{821C9F2C-E594-43F7-8130-ECB964BCA10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7114-DAD1-4902-B6CE-43FC98AAA4EC}">
  <dimension ref="B1:AD5"/>
  <sheetViews>
    <sheetView zoomScale="85" zoomScaleNormal="85" workbookViewId="0">
      <pane ySplit="4" topLeftCell="A5" activePane="bottomLeft" state="frozen"/>
      <selection pane="bottomLeft" activeCell="F5" sqref="F5"/>
    </sheetView>
  </sheetViews>
  <sheetFormatPr defaultRowHeight="15" x14ac:dyDescent="0.25"/>
  <cols>
    <col min="2" max="2" width="17.42578125" bestFit="1" customWidth="1"/>
    <col min="3" max="3" width="17.5703125" customWidth="1"/>
    <col min="4" max="4" width="16.28515625" customWidth="1"/>
    <col min="5" max="5" width="15.28515625" bestFit="1" customWidth="1"/>
    <col min="6" max="6" width="70" bestFit="1" customWidth="1"/>
    <col min="7" max="7" width="70.42578125" bestFit="1" customWidth="1"/>
    <col min="8" max="8" width="42.28515625" bestFit="1" customWidth="1"/>
    <col min="9" max="9" width="22.140625" bestFit="1" customWidth="1"/>
    <col min="10" max="10" width="15.5703125" bestFit="1" customWidth="1"/>
    <col min="11" max="11" width="21.7109375" bestFit="1" customWidth="1"/>
    <col min="12" max="12" width="22.5703125" bestFit="1" customWidth="1"/>
    <col min="13" max="13" width="12.42578125" bestFit="1" customWidth="1"/>
    <col min="14" max="14" width="29.140625" bestFit="1" customWidth="1"/>
    <col min="15" max="15" width="17.42578125" bestFit="1" customWidth="1"/>
    <col min="16" max="16" width="18.28515625" customWidth="1"/>
    <col min="17" max="17" width="20.42578125" bestFit="1" customWidth="1"/>
    <col min="18" max="18" width="17.85546875" bestFit="1" customWidth="1"/>
    <col min="19" max="19" width="23.140625" bestFit="1" customWidth="1"/>
    <col min="20" max="20" width="14.42578125" bestFit="1" customWidth="1"/>
    <col min="21" max="21" width="18.85546875" bestFit="1" customWidth="1"/>
    <col min="22" max="22" width="15" bestFit="1" customWidth="1"/>
    <col min="23" max="23" width="19.140625" bestFit="1" customWidth="1"/>
    <col min="24" max="24" width="21.85546875" bestFit="1" customWidth="1"/>
    <col min="25" max="25" width="14.7109375" bestFit="1" customWidth="1"/>
    <col min="26" max="26" width="38.42578125" bestFit="1" customWidth="1"/>
    <col min="27" max="27" width="40.5703125" bestFit="1" customWidth="1"/>
    <col min="28" max="28" width="27.5703125" bestFit="1" customWidth="1"/>
    <col min="29" max="29" width="57.5703125" customWidth="1"/>
    <col min="30" max="30" width="14.5703125" style="11" customWidth="1"/>
  </cols>
  <sheetData>
    <row r="1" spans="2:30" x14ac:dyDescent="0.25">
      <c r="AD1" s="47">
        <v>46112</v>
      </c>
    </row>
    <row r="2" spans="2:30" x14ac:dyDescent="0.25">
      <c r="B2" s="7" t="s">
        <v>395</v>
      </c>
    </row>
    <row r="3" spans="2:30" x14ac:dyDescent="0.25">
      <c r="P3" s="15" t="e">
        <f>SUBTOTAL(9,#REF!)</f>
        <v>#REF!</v>
      </c>
      <c r="U3" s="51">
        <v>46081</v>
      </c>
      <c r="AD3" s="47">
        <f>+$AD$1-90</f>
        <v>46022</v>
      </c>
    </row>
    <row r="4" spans="2:30" ht="45" customHeight="1" x14ac:dyDescent="0.25">
      <c r="B4" s="54" t="s">
        <v>117</v>
      </c>
      <c r="C4" s="54" t="s">
        <v>118</v>
      </c>
      <c r="D4" s="54" t="s">
        <v>119</v>
      </c>
      <c r="E4" s="54" t="s">
        <v>120</v>
      </c>
      <c r="F4" s="54" t="s">
        <v>125</v>
      </c>
      <c r="G4" s="54" t="s">
        <v>126</v>
      </c>
      <c r="H4" s="54" t="s">
        <v>127</v>
      </c>
      <c r="I4" s="54" t="s">
        <v>128</v>
      </c>
      <c r="J4" s="54" t="s">
        <v>122</v>
      </c>
      <c r="K4" s="54" t="s">
        <v>182</v>
      </c>
      <c r="L4" s="54" t="s">
        <v>124</v>
      </c>
      <c r="M4" s="54" t="s">
        <v>334</v>
      </c>
      <c r="N4" s="54" t="s">
        <v>123</v>
      </c>
      <c r="O4" s="54" t="s">
        <v>366</v>
      </c>
      <c r="P4" s="54" t="s">
        <v>411</v>
      </c>
      <c r="Q4" s="54" t="s">
        <v>42</v>
      </c>
      <c r="R4" s="54" t="s">
        <v>39</v>
      </c>
      <c r="S4" s="54" t="s">
        <v>143</v>
      </c>
      <c r="T4" s="54" t="s">
        <v>164</v>
      </c>
      <c r="U4" s="54" t="s">
        <v>329</v>
      </c>
      <c r="V4" s="54" t="s">
        <v>330</v>
      </c>
      <c r="W4" s="54" t="s">
        <v>367</v>
      </c>
      <c r="X4" s="54" t="s">
        <v>189</v>
      </c>
      <c r="Y4" s="54" t="s">
        <v>190</v>
      </c>
      <c r="Z4" s="54" t="s">
        <v>191</v>
      </c>
      <c r="AA4" s="54" t="s">
        <v>192</v>
      </c>
      <c r="AB4" s="54" t="s">
        <v>193</v>
      </c>
      <c r="AC4" s="54" t="s">
        <v>360</v>
      </c>
      <c r="AD4" s="55" t="s">
        <v>372</v>
      </c>
    </row>
    <row r="5" spans="2:30" x14ac:dyDescent="0.25">
      <c r="E5" t="s">
        <v>415</v>
      </c>
    </row>
  </sheetData>
  <autoFilter ref="B4:AD4" xr:uid="{03DA7114-DAD1-4902-B6CE-43FC98AAA4E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1AC9-F2BF-4B1F-8048-C5FB6549BF1E}">
  <dimension ref="B1:O4"/>
  <sheetViews>
    <sheetView zoomScale="85" zoomScaleNormal="85" workbookViewId="0">
      <pane ySplit="4" topLeftCell="A5" activePane="bottomLeft" state="frozen"/>
      <selection pane="bottomLeft" activeCell="A5" sqref="A5:XFD1048576"/>
    </sheetView>
  </sheetViews>
  <sheetFormatPr defaultRowHeight="15" customHeight="1" x14ac:dyDescent="0.25"/>
  <cols>
    <col min="2" max="2" width="17.42578125" bestFit="1" customWidth="1"/>
    <col min="3" max="3" width="13.5703125" bestFit="1" customWidth="1"/>
    <col min="4" max="4" width="56.85546875" bestFit="1" customWidth="1"/>
    <col min="5" max="5" width="23.140625" bestFit="1" customWidth="1"/>
    <col min="6" max="7" width="10.85546875" bestFit="1" customWidth="1"/>
    <col min="8" max="8" width="45.140625" bestFit="1" customWidth="1"/>
    <col min="9" max="9" width="12.28515625" bestFit="1" customWidth="1"/>
    <col min="10" max="10" width="19.85546875" bestFit="1" customWidth="1"/>
    <col min="11" max="11" width="17.28515625" bestFit="1" customWidth="1"/>
    <col min="12" max="12" width="19.7109375" customWidth="1"/>
    <col min="13" max="13" width="17.28515625" style="11" bestFit="1" customWidth="1"/>
    <col min="14" max="14" width="15.5703125" bestFit="1" customWidth="1"/>
    <col min="15" max="15" width="16" bestFit="1" customWidth="1"/>
  </cols>
  <sheetData>
    <row r="1" spans="2:15" x14ac:dyDescent="0.25"/>
    <row r="2" spans="2:15" ht="15" customHeight="1" x14ac:dyDescent="0.25">
      <c r="B2" s="7" t="s">
        <v>396</v>
      </c>
    </row>
    <row r="3" spans="2:15" ht="15" customHeight="1" x14ac:dyDescent="0.25">
      <c r="L3" s="12" t="e">
        <f>SUBTOTAL(9,#REF!)</f>
        <v>#REF!</v>
      </c>
    </row>
    <row r="4" spans="2:15" ht="37.5" customHeight="1" x14ac:dyDescent="0.25">
      <c r="B4" s="48" t="s">
        <v>117</v>
      </c>
      <c r="C4" s="48" t="s">
        <v>121</v>
      </c>
      <c r="D4" s="48" t="s">
        <v>130</v>
      </c>
      <c r="E4" s="48" t="s">
        <v>131</v>
      </c>
      <c r="F4" s="48" t="s">
        <v>132</v>
      </c>
      <c r="G4" s="48" t="s">
        <v>133</v>
      </c>
      <c r="H4" s="48" t="s">
        <v>135</v>
      </c>
      <c r="I4" s="48" t="s">
        <v>373</v>
      </c>
      <c r="J4" s="48" t="s">
        <v>188</v>
      </c>
      <c r="K4" s="48" t="s">
        <v>374</v>
      </c>
      <c r="L4" s="48" t="str">
        <f>+'Term Loan'!$P$4</f>
        <v>2/28 UPB</v>
      </c>
      <c r="M4" s="52" t="s">
        <v>375</v>
      </c>
      <c r="N4" s="53" t="s">
        <v>376</v>
      </c>
      <c r="O4" s="53" t="s">
        <v>377</v>
      </c>
    </row>
  </sheetData>
  <autoFilter ref="B4:O4" xr:uid="{26891AC9-F2BF-4B1F-8048-C5FB6549BF1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8D8E-AB59-42E1-A965-44EA16ED657A}">
  <dimension ref="A1:CH3"/>
  <sheetViews>
    <sheetView showGridLines="0" workbookViewId="0">
      <pane ySplit="2" topLeftCell="A3" activePane="bottomLeft" state="frozen"/>
      <selection pane="bottomLeft" activeCell="B2" sqref="B2"/>
    </sheetView>
  </sheetViews>
  <sheetFormatPr defaultRowHeight="15" x14ac:dyDescent="0.25"/>
  <cols>
    <col min="1" max="1" width="11.85546875" bestFit="1" customWidth="1"/>
    <col min="2" max="2" width="10.42578125" bestFit="1" customWidth="1"/>
    <col min="3" max="3" width="16.28515625" bestFit="1" customWidth="1"/>
    <col min="4" max="4" width="15" bestFit="1" customWidth="1"/>
    <col min="5" max="5" width="14.5703125" bestFit="1" customWidth="1"/>
    <col min="6" max="6" width="29" bestFit="1" customWidth="1"/>
    <col min="7" max="7" width="20.28515625" bestFit="1" customWidth="1"/>
    <col min="8" max="8" width="19.140625" bestFit="1" customWidth="1"/>
    <col min="9" max="9" width="43" bestFit="1" customWidth="1"/>
    <col min="10" max="10" width="16.7109375" bestFit="1" customWidth="1"/>
    <col min="11" max="11" width="12.5703125" bestFit="1" customWidth="1"/>
    <col min="12" max="12" width="13.85546875" bestFit="1" customWidth="1"/>
    <col min="13" max="13" width="12.140625" bestFit="1" customWidth="1"/>
    <col min="14" max="15" width="13.28515625" bestFit="1" customWidth="1"/>
    <col min="16" max="16" width="26.42578125" bestFit="1" customWidth="1"/>
    <col min="17" max="17" width="4" bestFit="1" customWidth="1"/>
    <col min="18" max="18" width="15.85546875" bestFit="1" customWidth="1"/>
    <col min="19" max="19" width="15.42578125" bestFit="1" customWidth="1"/>
    <col min="20" max="20" width="15.140625" bestFit="1" customWidth="1"/>
    <col min="21" max="21" width="9.42578125" bestFit="1" customWidth="1"/>
    <col min="22" max="23" width="12.28515625" bestFit="1" customWidth="1"/>
    <col min="24" max="24" width="15.42578125" bestFit="1" customWidth="1"/>
    <col min="25" max="25" width="14" bestFit="1" customWidth="1"/>
    <col min="26" max="26" width="12.85546875" bestFit="1" customWidth="1"/>
    <col min="27" max="27" width="19.28515625" bestFit="1" customWidth="1"/>
    <col min="28" max="28" width="14.5703125" bestFit="1" customWidth="1"/>
    <col min="29" max="29" width="15" bestFit="1" customWidth="1"/>
    <col min="30" max="30" width="14.5703125" bestFit="1" customWidth="1"/>
    <col min="31" max="31" width="15.85546875" bestFit="1" customWidth="1"/>
    <col min="32" max="32" width="10.7109375" bestFit="1" customWidth="1"/>
    <col min="33" max="33" width="10.85546875" bestFit="1" customWidth="1"/>
    <col min="34" max="34" width="20.28515625" bestFit="1" customWidth="1"/>
    <col min="35" max="35" width="13.28515625" bestFit="1" customWidth="1"/>
    <col min="36" max="36" width="12" bestFit="1" customWidth="1"/>
    <col min="37" max="37" width="14" bestFit="1" customWidth="1"/>
    <col min="38" max="38" width="13.28515625" bestFit="1" customWidth="1"/>
    <col min="39" max="39" width="12.5703125" bestFit="1" customWidth="1"/>
    <col min="40" max="40" width="12.42578125" bestFit="1" customWidth="1"/>
    <col min="41" max="41" width="13.85546875" bestFit="1" customWidth="1"/>
    <col min="42" max="42" width="15.5703125" bestFit="1" customWidth="1"/>
    <col min="43" max="43" width="12.85546875" bestFit="1" customWidth="1"/>
    <col min="44" max="44" width="9.42578125" bestFit="1" customWidth="1"/>
    <col min="45" max="45" width="10" bestFit="1" customWidth="1"/>
    <col min="46" max="46" width="8.42578125" bestFit="1" customWidth="1"/>
    <col min="47" max="47" width="10.7109375" bestFit="1" customWidth="1"/>
    <col min="48" max="48" width="11.7109375" bestFit="1" customWidth="1"/>
    <col min="49" max="49" width="9.7109375" bestFit="1" customWidth="1"/>
    <col min="50" max="50" width="7.140625" bestFit="1" customWidth="1"/>
    <col min="51" max="51" width="10.85546875" bestFit="1" customWidth="1"/>
    <col min="52" max="52" width="21.42578125" bestFit="1" customWidth="1"/>
    <col min="53" max="53" width="10.42578125" bestFit="1" customWidth="1"/>
    <col min="54" max="54" width="9.85546875" bestFit="1" customWidth="1"/>
    <col min="55" max="55" width="24.85546875" bestFit="1" customWidth="1"/>
    <col min="56" max="56" width="22.7109375" bestFit="1" customWidth="1"/>
    <col min="57" max="57" width="27.42578125" bestFit="1" customWidth="1"/>
    <col min="58" max="58" width="28.140625" bestFit="1" customWidth="1"/>
    <col min="59" max="59" width="15.7109375" bestFit="1" customWidth="1"/>
    <col min="60" max="60" width="19.140625" bestFit="1" customWidth="1"/>
    <col min="61" max="61" width="9.28515625" bestFit="1" customWidth="1"/>
    <col min="62" max="62" width="21.85546875" bestFit="1" customWidth="1"/>
    <col min="63" max="63" width="11.42578125" bestFit="1" customWidth="1"/>
    <col min="64" max="64" width="15.42578125" bestFit="1" customWidth="1"/>
    <col min="65" max="65" width="14.85546875" bestFit="1" customWidth="1"/>
    <col min="66" max="66" width="15" bestFit="1" customWidth="1"/>
    <col min="67" max="67" width="16.85546875" bestFit="1" customWidth="1"/>
    <col min="68" max="68" width="42.140625" bestFit="1" customWidth="1"/>
    <col min="69" max="69" width="11.28515625" bestFit="1" customWidth="1"/>
    <col min="70" max="70" width="17.5703125" bestFit="1" customWidth="1"/>
    <col min="71" max="71" width="18.85546875" bestFit="1" customWidth="1"/>
    <col min="72" max="72" width="11.42578125" bestFit="1" customWidth="1"/>
    <col min="73" max="73" width="14.140625" bestFit="1" customWidth="1"/>
    <col min="74" max="74" width="26.28515625" bestFit="1" customWidth="1"/>
    <col min="75" max="75" width="15" bestFit="1" customWidth="1"/>
    <col min="76" max="76" width="15.42578125" bestFit="1" customWidth="1"/>
    <col min="77" max="77" width="25.5703125" bestFit="1" customWidth="1"/>
    <col min="78" max="78" width="13.28515625" bestFit="1" customWidth="1"/>
    <col min="79" max="79" width="12.85546875" bestFit="1" customWidth="1"/>
    <col min="80" max="80" width="22.7109375" bestFit="1" customWidth="1"/>
    <col min="81" max="81" width="19.28515625" bestFit="1" customWidth="1"/>
    <col min="82" max="82" width="21.5703125" bestFit="1" customWidth="1"/>
    <col min="83" max="83" width="19" bestFit="1" customWidth="1"/>
    <col min="84" max="84" width="25.7109375" bestFit="1" customWidth="1"/>
    <col min="85" max="85" width="19.85546875" bestFit="1" customWidth="1"/>
    <col min="86" max="86" width="15" bestFit="1" customWidth="1"/>
  </cols>
  <sheetData>
    <row r="1" spans="1:86" x14ac:dyDescent="0.25">
      <c r="A1" s="1" t="s">
        <v>0</v>
      </c>
      <c r="B1" s="60">
        <f ca="1">TODAY()</f>
        <v>46091</v>
      </c>
    </row>
    <row r="2" spans="1:8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</row>
    <row r="3" spans="1:86" x14ac:dyDescent="0.25">
      <c r="A3">
        <v>399147585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s="3" t="s">
        <v>92</v>
      </c>
      <c r="H3" s="4">
        <v>42887</v>
      </c>
      <c r="I3" t="s">
        <v>93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101</v>
      </c>
      <c r="R3" s="5">
        <v>653300</v>
      </c>
      <c r="S3" s="5">
        <v>653300</v>
      </c>
      <c r="T3" s="5">
        <v>562247.69999999995</v>
      </c>
      <c r="U3" s="6" t="s">
        <v>102</v>
      </c>
      <c r="V3" s="6" t="s">
        <v>103</v>
      </c>
      <c r="W3" t="s">
        <v>104</v>
      </c>
      <c r="X3" s="5">
        <v>0</v>
      </c>
      <c r="Y3" s="5">
        <v>0</v>
      </c>
      <c r="Z3" s="5">
        <v>25</v>
      </c>
      <c r="AA3" s="5">
        <v>402.25</v>
      </c>
      <c r="AB3" s="5">
        <v>0</v>
      </c>
      <c r="AC3" t="s">
        <v>101</v>
      </c>
      <c r="AD3" s="5">
        <v>0</v>
      </c>
      <c r="AE3" s="5">
        <v>4022.48</v>
      </c>
      <c r="AF3" t="s">
        <v>105</v>
      </c>
      <c r="AG3">
        <v>5</v>
      </c>
      <c r="AH3" s="5">
        <v>0</v>
      </c>
      <c r="AI3" s="3" t="s">
        <v>106</v>
      </c>
      <c r="AJ3" s="4">
        <v>46082</v>
      </c>
      <c r="AK3" s="4">
        <v>42831</v>
      </c>
      <c r="AL3" s="4">
        <v>46113</v>
      </c>
      <c r="AM3" s="4">
        <v>46478</v>
      </c>
      <c r="AP3" s="4">
        <v>42825</v>
      </c>
      <c r="AQ3" t="s">
        <v>107</v>
      </c>
      <c r="AR3" t="s">
        <v>108</v>
      </c>
      <c r="AS3" t="s">
        <v>96</v>
      </c>
      <c r="AT3" t="s">
        <v>109</v>
      </c>
      <c r="AU3" s="5">
        <v>0</v>
      </c>
      <c r="AV3" t="s">
        <v>101</v>
      </c>
      <c r="AX3" s="3" t="s">
        <v>410</v>
      </c>
      <c r="AY3" t="s">
        <v>110</v>
      </c>
      <c r="AZ3" t="s">
        <v>111</v>
      </c>
      <c r="BA3" t="s">
        <v>284</v>
      </c>
      <c r="BB3" t="s">
        <v>112</v>
      </c>
      <c r="BC3" s="5">
        <v>0</v>
      </c>
      <c r="BD3" s="5">
        <v>0</v>
      </c>
      <c r="BE3" s="5">
        <v>0</v>
      </c>
      <c r="BF3" s="5">
        <v>0</v>
      </c>
      <c r="BG3" t="s">
        <v>113</v>
      </c>
      <c r="BH3" t="s">
        <v>88</v>
      </c>
      <c r="BI3">
        <v>0</v>
      </c>
      <c r="BJ3" t="s">
        <v>114</v>
      </c>
      <c r="BM3" s="5">
        <v>0</v>
      </c>
      <c r="BN3" s="5">
        <v>562247.69999999995</v>
      </c>
      <c r="BO3" s="5">
        <v>0</v>
      </c>
      <c r="BP3" t="s">
        <v>115</v>
      </c>
      <c r="BR3" s="5">
        <v>0</v>
      </c>
      <c r="BS3" s="3">
        <v>0</v>
      </c>
      <c r="BV3" t="b">
        <v>0</v>
      </c>
      <c r="BW3" s="5">
        <v>0</v>
      </c>
      <c r="BX3" s="5">
        <v>0</v>
      </c>
      <c r="BY3" t="s">
        <v>116</v>
      </c>
      <c r="CA3" s="4">
        <v>42831.462540706016</v>
      </c>
      <c r="CC3" t="s">
        <v>101</v>
      </c>
      <c r="CD3" t="s">
        <v>101</v>
      </c>
      <c r="CE3" t="s">
        <v>101</v>
      </c>
      <c r="CG3" t="b">
        <v>0</v>
      </c>
      <c r="CH3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3E87-26D3-41E1-A0F3-9F3FE044B1C1}">
  <dimension ref="B2:C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2" max="2" width="13.28515625" bestFit="1" customWidth="1"/>
    <col min="3" max="3" width="39.28515625" customWidth="1"/>
  </cols>
  <sheetData>
    <row r="2" spans="2:3" x14ac:dyDescent="0.25">
      <c r="B2" s="7" t="s">
        <v>322</v>
      </c>
    </row>
    <row r="4" spans="2:3" x14ac:dyDescent="0.25">
      <c r="B4" s="8" t="s">
        <v>321</v>
      </c>
      <c r="C4" s="8" t="s">
        <v>125</v>
      </c>
    </row>
    <row r="5" spans="2:3" x14ac:dyDescent="0.25">
      <c r="B5" s="9">
        <v>39268</v>
      </c>
      <c r="C5" s="9" t="s">
        <v>227</v>
      </c>
    </row>
    <row r="6" spans="2:3" x14ac:dyDescent="0.25">
      <c r="B6" s="9">
        <v>40791</v>
      </c>
      <c r="C6" s="9" t="s">
        <v>240</v>
      </c>
    </row>
    <row r="7" spans="2:3" x14ac:dyDescent="0.25">
      <c r="B7" s="9">
        <v>43229</v>
      </c>
      <c r="C7" s="9" t="s">
        <v>242</v>
      </c>
    </row>
    <row r="8" spans="2:3" x14ac:dyDescent="0.25">
      <c r="B8" s="9">
        <v>30518</v>
      </c>
      <c r="C8" s="9" t="s">
        <v>218</v>
      </c>
    </row>
    <row r="9" spans="2:3" x14ac:dyDescent="0.25">
      <c r="B9" s="9">
        <v>37572</v>
      </c>
      <c r="C9" s="9" t="s">
        <v>201</v>
      </c>
    </row>
    <row r="10" spans="2:3" x14ac:dyDescent="0.25">
      <c r="B10" s="9">
        <v>41482</v>
      </c>
      <c r="C10" s="9" t="s">
        <v>216</v>
      </c>
    </row>
    <row r="11" spans="2:3" x14ac:dyDescent="0.25">
      <c r="B11" s="9">
        <v>34430</v>
      </c>
      <c r="C11" s="9" t="s">
        <v>223</v>
      </c>
    </row>
    <row r="12" spans="2:3" x14ac:dyDescent="0.25">
      <c r="B12" s="9">
        <v>41483</v>
      </c>
      <c r="C12" s="9" t="s">
        <v>217</v>
      </c>
    </row>
    <row r="13" spans="2:3" x14ac:dyDescent="0.25">
      <c r="B13" s="9">
        <v>42814</v>
      </c>
      <c r="C13" s="9" t="s">
        <v>245</v>
      </c>
    </row>
    <row r="14" spans="2:3" x14ac:dyDescent="0.25">
      <c r="B14" s="9">
        <v>38720</v>
      </c>
      <c r="C14" s="9" t="s">
        <v>228</v>
      </c>
    </row>
    <row r="15" spans="2:3" x14ac:dyDescent="0.25">
      <c r="B15" s="9">
        <v>38524</v>
      </c>
      <c r="C15" s="9" t="s">
        <v>232</v>
      </c>
    </row>
    <row r="16" spans="2:3" x14ac:dyDescent="0.25">
      <c r="B16" s="9">
        <v>43438</v>
      </c>
      <c r="C16" s="9" t="s">
        <v>243</v>
      </c>
    </row>
    <row r="17" spans="2:3" x14ac:dyDescent="0.25">
      <c r="B17" s="9">
        <v>45202</v>
      </c>
      <c r="C17" s="9" t="s">
        <v>246</v>
      </c>
    </row>
    <row r="18" spans="2:3" x14ac:dyDescent="0.25">
      <c r="B18" s="9">
        <v>41867</v>
      </c>
      <c r="C18" s="9" t="s">
        <v>214</v>
      </c>
    </row>
    <row r="19" spans="2:3" x14ac:dyDescent="0.25">
      <c r="B19" s="9">
        <v>40576</v>
      </c>
      <c r="C19" s="9" t="s">
        <v>238</v>
      </c>
    </row>
    <row r="20" spans="2:3" x14ac:dyDescent="0.25">
      <c r="B20" s="9">
        <v>40021</v>
      </c>
      <c r="C20" s="9" t="s">
        <v>241</v>
      </c>
    </row>
    <row r="21" spans="2:3" x14ac:dyDescent="0.25">
      <c r="B21" s="9">
        <v>39712</v>
      </c>
      <c r="C21" s="9" t="s">
        <v>210</v>
      </c>
    </row>
    <row r="22" spans="2:3" x14ac:dyDescent="0.25">
      <c r="B22" s="9">
        <v>41195</v>
      </c>
      <c r="C22" s="9" t="s">
        <v>212</v>
      </c>
    </row>
    <row r="23" spans="2:3" x14ac:dyDescent="0.25">
      <c r="B23" s="9">
        <v>39295</v>
      </c>
      <c r="C23" s="9" t="s">
        <v>234</v>
      </c>
    </row>
    <row r="24" spans="2:3" x14ac:dyDescent="0.25">
      <c r="B24" s="9">
        <v>39711</v>
      </c>
      <c r="C24" s="9" t="s">
        <v>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5C8C-B77F-4A3A-BE60-005CD304EEE2}">
  <dimension ref="B2:I5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2" max="2" width="17.42578125" bestFit="1" customWidth="1"/>
    <col min="3" max="3" width="57.28515625" bestFit="1" customWidth="1"/>
    <col min="4" max="4" width="16.7109375" bestFit="1" customWidth="1"/>
    <col min="7" max="7" width="17.42578125" bestFit="1" customWidth="1"/>
    <col min="8" max="8" width="34.140625" bestFit="1" customWidth="1"/>
    <col min="9" max="9" width="16.42578125" bestFit="1" customWidth="1"/>
  </cols>
  <sheetData>
    <row r="2" spans="2:9" x14ac:dyDescent="0.25">
      <c r="B2" s="7" t="s">
        <v>389</v>
      </c>
      <c r="G2" s="7" t="s">
        <v>394</v>
      </c>
    </row>
    <row r="3" spans="2:9" x14ac:dyDescent="0.25">
      <c r="B3" t="s">
        <v>390</v>
      </c>
      <c r="G3" t="str">
        <f>+B3</f>
        <v>09302025 RWT Bridge Tape - 10.17.25 v1</v>
      </c>
    </row>
    <row r="5" spans="2:9" x14ac:dyDescent="0.25">
      <c r="B5" s="8" t="s">
        <v>117</v>
      </c>
      <c r="C5" s="8" t="s">
        <v>125</v>
      </c>
      <c r="D5" s="8" t="s">
        <v>391</v>
      </c>
      <c r="G5" s="8" t="s">
        <v>117</v>
      </c>
      <c r="H5" s="8" t="s">
        <v>125</v>
      </c>
      <c r="I5" s="8" t="s">
        <v>391</v>
      </c>
    </row>
    <row r="6" spans="2:9" x14ac:dyDescent="0.25">
      <c r="B6" s="9">
        <v>39499</v>
      </c>
      <c r="C6" s="9" t="s">
        <v>205</v>
      </c>
      <c r="D6" s="9" t="s">
        <v>296</v>
      </c>
      <c r="G6" s="9">
        <v>41494</v>
      </c>
      <c r="H6" s="9" t="s">
        <v>306</v>
      </c>
      <c r="I6" s="9" t="s">
        <v>296</v>
      </c>
    </row>
    <row r="7" spans="2:9" x14ac:dyDescent="0.25">
      <c r="B7" s="9">
        <v>39318</v>
      </c>
      <c r="C7" s="9" t="s">
        <v>203</v>
      </c>
      <c r="D7" s="9" t="s">
        <v>296</v>
      </c>
      <c r="G7" s="9">
        <v>48487</v>
      </c>
      <c r="H7" s="9" t="s">
        <v>307</v>
      </c>
      <c r="I7" s="9" t="s">
        <v>296</v>
      </c>
    </row>
    <row r="8" spans="2:9" x14ac:dyDescent="0.25">
      <c r="B8" s="9">
        <v>40113</v>
      </c>
      <c r="C8" s="9" t="s">
        <v>206</v>
      </c>
      <c r="D8" s="9" t="s">
        <v>296</v>
      </c>
      <c r="G8" s="9">
        <v>44177</v>
      </c>
      <c r="H8" s="9" t="s">
        <v>308</v>
      </c>
      <c r="I8" s="9" t="s">
        <v>296</v>
      </c>
    </row>
    <row r="9" spans="2:9" x14ac:dyDescent="0.25">
      <c r="B9" s="9">
        <v>39584</v>
      </c>
      <c r="C9" s="9" t="s">
        <v>208</v>
      </c>
      <c r="D9" s="9" t="s">
        <v>296</v>
      </c>
      <c r="G9" s="9">
        <v>20739</v>
      </c>
      <c r="H9" s="9" t="s">
        <v>309</v>
      </c>
      <c r="I9" s="9" t="s">
        <v>296</v>
      </c>
    </row>
    <row r="10" spans="2:9" x14ac:dyDescent="0.25">
      <c r="B10" s="9">
        <v>39894</v>
      </c>
      <c r="C10" s="9" t="s">
        <v>244</v>
      </c>
      <c r="D10" s="9" t="s">
        <v>296</v>
      </c>
      <c r="G10" s="9">
        <v>20747</v>
      </c>
      <c r="H10" s="9" t="s">
        <v>310</v>
      </c>
      <c r="I10" s="9" t="s">
        <v>296</v>
      </c>
    </row>
    <row r="11" spans="2:9" x14ac:dyDescent="0.25">
      <c r="B11" s="9">
        <v>47079</v>
      </c>
      <c r="C11" s="9" t="s">
        <v>248</v>
      </c>
      <c r="D11" s="9" t="s">
        <v>296</v>
      </c>
      <c r="G11" s="9">
        <v>54426</v>
      </c>
      <c r="H11" s="9" t="s">
        <v>311</v>
      </c>
      <c r="I11" s="9" t="s">
        <v>296</v>
      </c>
    </row>
    <row r="12" spans="2:9" x14ac:dyDescent="0.25">
      <c r="B12" s="9">
        <v>55629</v>
      </c>
      <c r="C12" s="9" t="s">
        <v>251</v>
      </c>
      <c r="D12" s="9" t="s">
        <v>392</v>
      </c>
      <c r="G12" s="9">
        <v>50841</v>
      </c>
      <c r="H12" s="9" t="s">
        <v>312</v>
      </c>
      <c r="I12" s="9" t="s">
        <v>296</v>
      </c>
    </row>
    <row r="13" spans="2:9" x14ac:dyDescent="0.25">
      <c r="B13" s="9">
        <v>47464</v>
      </c>
      <c r="C13" s="9" t="s">
        <v>247</v>
      </c>
      <c r="D13" s="9" t="s">
        <v>296</v>
      </c>
      <c r="G13" s="9">
        <v>43422</v>
      </c>
      <c r="H13" s="9" t="s">
        <v>313</v>
      </c>
      <c r="I13" s="9" t="s">
        <v>296</v>
      </c>
    </row>
    <row r="14" spans="2:9" x14ac:dyDescent="0.25">
      <c r="B14" s="9">
        <v>41448</v>
      </c>
      <c r="C14" s="9" t="s">
        <v>211</v>
      </c>
      <c r="D14" s="9" t="s">
        <v>296</v>
      </c>
      <c r="G14" s="9">
        <v>43462</v>
      </c>
      <c r="H14" s="9" t="s">
        <v>314</v>
      </c>
      <c r="I14" s="9" t="s">
        <v>296</v>
      </c>
    </row>
    <row r="15" spans="2:9" x14ac:dyDescent="0.25">
      <c r="B15" s="9">
        <v>40945</v>
      </c>
      <c r="C15" s="9" t="s">
        <v>297</v>
      </c>
      <c r="D15" s="9" t="s">
        <v>393</v>
      </c>
      <c r="G15" s="9"/>
      <c r="H15" s="9"/>
      <c r="I15" s="9"/>
    </row>
    <row r="16" spans="2:9" x14ac:dyDescent="0.25">
      <c r="B16" s="9">
        <v>32506</v>
      </c>
      <c r="C16" s="9" t="s">
        <v>220</v>
      </c>
      <c r="D16" s="9" t="s">
        <v>296</v>
      </c>
    </row>
    <row r="17" spans="2:4" x14ac:dyDescent="0.25">
      <c r="B17" s="9">
        <v>33732</v>
      </c>
      <c r="C17" s="9" t="s">
        <v>222</v>
      </c>
      <c r="D17" s="9" t="s">
        <v>296</v>
      </c>
    </row>
    <row r="18" spans="2:4" x14ac:dyDescent="0.25">
      <c r="B18" s="9">
        <v>49128</v>
      </c>
      <c r="C18" s="9" t="s">
        <v>257</v>
      </c>
      <c r="D18" s="9" t="s">
        <v>296</v>
      </c>
    </row>
    <row r="19" spans="2:4" x14ac:dyDescent="0.25">
      <c r="B19" s="9">
        <v>57543</v>
      </c>
      <c r="C19" s="9" t="s">
        <v>254</v>
      </c>
      <c r="D19" s="9" t="s">
        <v>296</v>
      </c>
    </row>
    <row r="20" spans="2:4" x14ac:dyDescent="0.25">
      <c r="B20" s="9">
        <v>40915</v>
      </c>
      <c r="C20" s="9" t="s">
        <v>237</v>
      </c>
      <c r="D20" s="9" t="s">
        <v>285</v>
      </c>
    </row>
    <row r="21" spans="2:4" x14ac:dyDescent="0.25">
      <c r="B21" s="9">
        <v>38947</v>
      </c>
      <c r="C21" s="9" t="s">
        <v>229</v>
      </c>
      <c r="D21" s="9" t="s">
        <v>296</v>
      </c>
    </row>
    <row r="22" spans="2:4" x14ac:dyDescent="0.25">
      <c r="B22" s="9">
        <v>41475</v>
      </c>
      <c r="C22" s="9" t="s">
        <v>215</v>
      </c>
      <c r="D22" s="9" t="s">
        <v>285</v>
      </c>
    </row>
    <row r="23" spans="2:4" x14ac:dyDescent="0.25">
      <c r="B23" s="9">
        <v>33735</v>
      </c>
      <c r="C23" s="9" t="s">
        <v>221</v>
      </c>
      <c r="D23" s="9" t="s">
        <v>296</v>
      </c>
    </row>
    <row r="24" spans="2:4" x14ac:dyDescent="0.25">
      <c r="B24" s="9">
        <v>40923</v>
      </c>
      <c r="C24" s="9" t="s">
        <v>213</v>
      </c>
      <c r="D24" s="9" t="s">
        <v>285</v>
      </c>
    </row>
    <row r="25" spans="2:4" x14ac:dyDescent="0.25">
      <c r="B25" s="9">
        <v>54718</v>
      </c>
      <c r="C25" s="9" t="s">
        <v>250</v>
      </c>
      <c r="D25" s="9" t="s">
        <v>296</v>
      </c>
    </row>
    <row r="26" spans="2:4" x14ac:dyDescent="0.25">
      <c r="B26" s="9">
        <v>56309</v>
      </c>
      <c r="C26" s="9" t="s">
        <v>255</v>
      </c>
      <c r="D26" s="9" t="s">
        <v>386</v>
      </c>
    </row>
    <row r="27" spans="2:4" x14ac:dyDescent="0.25">
      <c r="B27" s="9">
        <v>38964</v>
      </c>
      <c r="C27" s="9" t="s">
        <v>233</v>
      </c>
      <c r="D27" s="9" t="s">
        <v>285</v>
      </c>
    </row>
    <row r="28" spans="2:4" x14ac:dyDescent="0.25">
      <c r="B28" s="9">
        <v>56109</v>
      </c>
      <c r="C28" s="9" t="s">
        <v>252</v>
      </c>
      <c r="D28" s="9" t="s">
        <v>392</v>
      </c>
    </row>
    <row r="29" spans="2:4" x14ac:dyDescent="0.25">
      <c r="B29" s="9">
        <v>37509</v>
      </c>
      <c r="C29" s="9" t="s">
        <v>202</v>
      </c>
      <c r="D29" s="9" t="s">
        <v>296</v>
      </c>
    </row>
    <row r="30" spans="2:4" x14ac:dyDescent="0.25">
      <c r="B30" s="9">
        <v>38528</v>
      </c>
      <c r="C30" s="9" t="s">
        <v>226</v>
      </c>
      <c r="D30" s="9" t="s">
        <v>296</v>
      </c>
    </row>
    <row r="31" spans="2:4" x14ac:dyDescent="0.25">
      <c r="B31" s="9">
        <v>37733</v>
      </c>
      <c r="C31" s="9" t="s">
        <v>224</v>
      </c>
      <c r="D31" s="9" t="s">
        <v>393</v>
      </c>
    </row>
    <row r="32" spans="2:4" x14ac:dyDescent="0.25">
      <c r="B32" s="9">
        <v>37535</v>
      </c>
      <c r="C32" s="9" t="s">
        <v>225</v>
      </c>
      <c r="D32" s="9" t="s">
        <v>296</v>
      </c>
    </row>
    <row r="33" spans="2:4" x14ac:dyDescent="0.25">
      <c r="B33" s="9">
        <v>38304</v>
      </c>
      <c r="C33" s="9" t="s">
        <v>204</v>
      </c>
      <c r="D33" s="9" t="s">
        <v>296</v>
      </c>
    </row>
    <row r="34" spans="2:4" x14ac:dyDescent="0.25">
      <c r="B34" s="9">
        <v>57973</v>
      </c>
      <c r="C34" s="9" t="s">
        <v>258</v>
      </c>
      <c r="D34" s="9" t="s">
        <v>296</v>
      </c>
    </row>
    <row r="35" spans="2:4" x14ac:dyDescent="0.25">
      <c r="B35" s="9">
        <v>40771</v>
      </c>
      <c r="C35" s="9" t="s">
        <v>207</v>
      </c>
      <c r="D35" s="9" t="s">
        <v>296</v>
      </c>
    </row>
    <row r="36" spans="2:4" x14ac:dyDescent="0.25">
      <c r="B36" s="9" t="s">
        <v>198</v>
      </c>
      <c r="C36" s="9" t="s">
        <v>298</v>
      </c>
      <c r="D36" s="9" t="s">
        <v>296</v>
      </c>
    </row>
    <row r="37" spans="2:4" x14ac:dyDescent="0.25">
      <c r="B37" s="9">
        <v>41874</v>
      </c>
      <c r="C37" s="9" t="s">
        <v>299</v>
      </c>
      <c r="D37" s="9" t="s">
        <v>393</v>
      </c>
    </row>
    <row r="38" spans="2:4" x14ac:dyDescent="0.25">
      <c r="B38" s="9">
        <v>39386</v>
      </c>
      <c r="C38" s="9" t="s">
        <v>230</v>
      </c>
      <c r="D38" s="9" t="s">
        <v>296</v>
      </c>
    </row>
    <row r="39" spans="2:4" x14ac:dyDescent="0.25">
      <c r="B39" s="9">
        <v>40426</v>
      </c>
      <c r="C39" s="9" t="s">
        <v>300</v>
      </c>
      <c r="D39" s="9" t="s">
        <v>393</v>
      </c>
    </row>
    <row r="40" spans="2:4" x14ac:dyDescent="0.25">
      <c r="B40" s="9" t="s">
        <v>301</v>
      </c>
      <c r="C40" s="9" t="s">
        <v>302</v>
      </c>
      <c r="D40" s="9" t="s">
        <v>393</v>
      </c>
    </row>
    <row r="41" spans="2:4" x14ac:dyDescent="0.25">
      <c r="B41" s="9">
        <v>41124</v>
      </c>
      <c r="C41" s="9" t="s">
        <v>239</v>
      </c>
      <c r="D41" s="9" t="s">
        <v>296</v>
      </c>
    </row>
    <row r="42" spans="2:4" x14ac:dyDescent="0.25">
      <c r="B42" s="9">
        <v>42295</v>
      </c>
      <c r="C42" s="9" t="s">
        <v>303</v>
      </c>
      <c r="D42" s="9" t="s">
        <v>393</v>
      </c>
    </row>
    <row r="43" spans="2:4" x14ac:dyDescent="0.25">
      <c r="B43" s="9">
        <v>39392</v>
      </c>
      <c r="C43" s="9" t="s">
        <v>231</v>
      </c>
      <c r="D43" s="9" t="s">
        <v>296</v>
      </c>
    </row>
    <row r="44" spans="2:4" x14ac:dyDescent="0.25">
      <c r="B44" s="9">
        <v>37683</v>
      </c>
      <c r="C44" s="9" t="s">
        <v>304</v>
      </c>
      <c r="D44" s="9" t="s">
        <v>296</v>
      </c>
    </row>
    <row r="45" spans="2:4" x14ac:dyDescent="0.25">
      <c r="B45" s="9">
        <v>41118</v>
      </c>
      <c r="C45" s="9" t="s">
        <v>235</v>
      </c>
      <c r="D45" s="9" t="s">
        <v>296</v>
      </c>
    </row>
    <row r="46" spans="2:4" x14ac:dyDescent="0.25">
      <c r="B46" s="9">
        <v>39795</v>
      </c>
      <c r="C46" s="9" t="s">
        <v>236</v>
      </c>
      <c r="D46" s="9" t="s">
        <v>296</v>
      </c>
    </row>
    <row r="47" spans="2:4" x14ac:dyDescent="0.25">
      <c r="B47" s="9">
        <v>37185</v>
      </c>
      <c r="C47" s="9" t="s">
        <v>219</v>
      </c>
      <c r="D47" s="9" t="s">
        <v>296</v>
      </c>
    </row>
    <row r="48" spans="2:4" x14ac:dyDescent="0.25">
      <c r="B48" s="9">
        <v>57646</v>
      </c>
      <c r="C48" s="9" t="s">
        <v>256</v>
      </c>
      <c r="D48" s="9" t="s">
        <v>386</v>
      </c>
    </row>
    <row r="49" spans="2:4" x14ac:dyDescent="0.25">
      <c r="B49" s="9">
        <v>37682</v>
      </c>
      <c r="C49" s="9" t="s">
        <v>265</v>
      </c>
      <c r="D49" s="9" t="s">
        <v>296</v>
      </c>
    </row>
    <row r="50" spans="2:4" x14ac:dyDescent="0.25">
      <c r="B50" s="9" t="s">
        <v>200</v>
      </c>
      <c r="C50" s="9" t="s">
        <v>260</v>
      </c>
      <c r="D50" s="9" t="s">
        <v>296</v>
      </c>
    </row>
    <row r="51" spans="2:4" x14ac:dyDescent="0.25">
      <c r="B51" s="9">
        <v>37623</v>
      </c>
      <c r="C51" s="9" t="s">
        <v>263</v>
      </c>
      <c r="D51" s="9" t="s">
        <v>285</v>
      </c>
    </row>
    <row r="52" spans="2:4" x14ac:dyDescent="0.25">
      <c r="B52" s="9">
        <v>37628</v>
      </c>
      <c r="C52" s="9" t="s">
        <v>262</v>
      </c>
      <c r="D52" s="9" t="s">
        <v>285</v>
      </c>
    </row>
    <row r="53" spans="2:4" x14ac:dyDescent="0.25">
      <c r="B53" s="9">
        <v>37622</v>
      </c>
      <c r="C53" s="9" t="s">
        <v>261</v>
      </c>
      <c r="D53" s="9" t="s">
        <v>285</v>
      </c>
    </row>
    <row r="54" spans="2:4" x14ac:dyDescent="0.25">
      <c r="B54" s="9">
        <v>37626</v>
      </c>
      <c r="C54" s="9" t="s">
        <v>264</v>
      </c>
      <c r="D54" s="9" t="s">
        <v>285</v>
      </c>
    </row>
    <row r="55" spans="2:4" x14ac:dyDescent="0.25">
      <c r="B55" s="9">
        <v>37733</v>
      </c>
      <c r="C55" s="9" t="s">
        <v>224</v>
      </c>
      <c r="D55" s="9" t="s">
        <v>393</v>
      </c>
    </row>
    <row r="56" spans="2:4" x14ac:dyDescent="0.25">
      <c r="B56" s="9">
        <v>56454</v>
      </c>
      <c r="C56" s="9" t="s">
        <v>253</v>
      </c>
      <c r="D56" s="9" t="s">
        <v>386</v>
      </c>
    </row>
    <row r="57" spans="2:4" x14ac:dyDescent="0.25">
      <c r="B57" s="9">
        <v>25367</v>
      </c>
      <c r="C57" s="9" t="s">
        <v>305</v>
      </c>
      <c r="D57" s="9" t="s">
        <v>393</v>
      </c>
    </row>
    <row r="58" spans="2:4" x14ac:dyDescent="0.25">
      <c r="B58" s="9" t="s">
        <v>199</v>
      </c>
      <c r="C58" s="9" t="s">
        <v>259</v>
      </c>
      <c r="D58" s="9" t="s">
        <v>296</v>
      </c>
    </row>
    <row r="59" spans="2:4" x14ac:dyDescent="0.25">
      <c r="B59" s="9">
        <v>53344</v>
      </c>
      <c r="C59" s="9" t="s">
        <v>249</v>
      </c>
      <c r="D59" s="9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0DA-2CD9-4788-836D-08752F19E1DE}">
  <dimension ref="B2:G2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2" max="2" width="35.7109375" customWidth="1"/>
    <col min="3" max="3" width="29.28515625" customWidth="1"/>
    <col min="6" max="6" width="21" bestFit="1" customWidth="1"/>
  </cols>
  <sheetData>
    <row r="2" spans="2:7" x14ac:dyDescent="0.25">
      <c r="B2" s="7" t="s">
        <v>320</v>
      </c>
      <c r="F2" s="7" t="s">
        <v>402</v>
      </c>
    </row>
    <row r="4" spans="2:7" x14ac:dyDescent="0.25">
      <c r="B4" s="7" t="s">
        <v>317</v>
      </c>
      <c r="C4" s="7" t="s">
        <v>318</v>
      </c>
      <c r="F4" s="7" t="s">
        <v>148</v>
      </c>
      <c r="G4" s="7" t="s">
        <v>286</v>
      </c>
    </row>
    <row r="5" spans="2:7" x14ac:dyDescent="0.25">
      <c r="B5" t="s">
        <v>271</v>
      </c>
      <c r="C5" t="s">
        <v>319</v>
      </c>
      <c r="F5" t="s">
        <v>287</v>
      </c>
      <c r="G5" t="s">
        <v>286</v>
      </c>
    </row>
    <row r="6" spans="2:7" x14ac:dyDescent="0.25">
      <c r="B6" t="s">
        <v>270</v>
      </c>
      <c r="C6" t="s">
        <v>319</v>
      </c>
      <c r="F6" t="s">
        <v>288</v>
      </c>
      <c r="G6" t="s">
        <v>286</v>
      </c>
    </row>
    <row r="7" spans="2:7" x14ac:dyDescent="0.25">
      <c r="B7" t="s">
        <v>277</v>
      </c>
      <c r="C7" t="s">
        <v>319</v>
      </c>
      <c r="F7" t="s">
        <v>290</v>
      </c>
      <c r="G7" t="s">
        <v>286</v>
      </c>
    </row>
    <row r="8" spans="2:7" x14ac:dyDescent="0.25">
      <c r="B8" t="s">
        <v>282</v>
      </c>
      <c r="C8" t="s">
        <v>319</v>
      </c>
      <c r="F8" t="s">
        <v>289</v>
      </c>
      <c r="G8" t="s">
        <v>286</v>
      </c>
    </row>
    <row r="9" spans="2:7" x14ac:dyDescent="0.25">
      <c r="B9" t="s">
        <v>272</v>
      </c>
      <c r="C9" t="s">
        <v>319</v>
      </c>
      <c r="F9" t="s">
        <v>291</v>
      </c>
      <c r="G9" t="s">
        <v>286</v>
      </c>
    </row>
    <row r="10" spans="2:7" x14ac:dyDescent="0.25">
      <c r="B10" t="s">
        <v>273</v>
      </c>
      <c r="C10" t="s">
        <v>266</v>
      </c>
      <c r="F10" t="s">
        <v>397</v>
      </c>
      <c r="G10" t="s">
        <v>286</v>
      </c>
    </row>
    <row r="11" spans="2:7" x14ac:dyDescent="0.25">
      <c r="B11" t="s">
        <v>267</v>
      </c>
      <c r="C11" t="s">
        <v>266</v>
      </c>
      <c r="F11" t="s">
        <v>293</v>
      </c>
      <c r="G11" t="s">
        <v>286</v>
      </c>
    </row>
    <row r="12" spans="2:7" x14ac:dyDescent="0.25">
      <c r="B12" t="s">
        <v>275</v>
      </c>
      <c r="C12" t="s">
        <v>266</v>
      </c>
      <c r="F12" t="s">
        <v>295</v>
      </c>
      <c r="G12" t="s">
        <v>286</v>
      </c>
    </row>
    <row r="13" spans="2:7" x14ac:dyDescent="0.25">
      <c r="B13" t="s">
        <v>269</v>
      </c>
      <c r="C13" t="s">
        <v>266</v>
      </c>
      <c r="F13" t="s">
        <v>292</v>
      </c>
      <c r="G13" t="s">
        <v>286</v>
      </c>
    </row>
    <row r="14" spans="2:7" x14ac:dyDescent="0.25">
      <c r="B14" t="s">
        <v>279</v>
      </c>
      <c r="C14" t="s">
        <v>266</v>
      </c>
      <c r="F14" t="s">
        <v>294</v>
      </c>
      <c r="G14" t="s">
        <v>286</v>
      </c>
    </row>
    <row r="15" spans="2:7" x14ac:dyDescent="0.25">
      <c r="B15" t="s">
        <v>268</v>
      </c>
      <c r="C15" t="s">
        <v>266</v>
      </c>
    </row>
    <row r="16" spans="2:7" x14ac:dyDescent="0.25">
      <c r="B16" t="s">
        <v>278</v>
      </c>
      <c r="C16" t="s">
        <v>266</v>
      </c>
    </row>
    <row r="17" spans="2:3" x14ac:dyDescent="0.25">
      <c r="B17" t="s">
        <v>276</v>
      </c>
      <c r="C17" t="s">
        <v>266</v>
      </c>
    </row>
    <row r="18" spans="2:3" x14ac:dyDescent="0.25">
      <c r="B18" t="s">
        <v>281</v>
      </c>
      <c r="C18" t="s">
        <v>266</v>
      </c>
    </row>
    <row r="19" spans="2:3" x14ac:dyDescent="0.25">
      <c r="B19" t="s">
        <v>280</v>
      </c>
      <c r="C19" t="s">
        <v>266</v>
      </c>
    </row>
    <row r="20" spans="2:3" x14ac:dyDescent="0.25">
      <c r="B20" t="s">
        <v>274</v>
      </c>
      <c r="C2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Bridge Loan</vt:lpstr>
      <vt:lpstr>Bridge Asset</vt:lpstr>
      <vt:lpstr>Term Loan</vt:lpstr>
      <vt:lpstr>Term Asset</vt:lpstr>
      <vt:lpstr>Pacific Life</vt:lpstr>
      <vt:lpstr>SSP Loans</vt:lpstr>
      <vt:lpstr>Legacy</vt:lpstr>
      <vt:lpstr>Strategy Groupings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Keown</dc:creator>
  <cp:lastModifiedBy>Jonathan Smith</cp:lastModifiedBy>
  <dcterms:created xsi:type="dcterms:W3CDTF">2025-10-06T15:35:50Z</dcterms:created>
  <dcterms:modified xsi:type="dcterms:W3CDTF">2026-03-10T18:01:07Z</dcterms:modified>
</cp:coreProperties>
</file>