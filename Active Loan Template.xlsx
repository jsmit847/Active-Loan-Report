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Downloads/"/>
    </mc:Choice>
  </mc:AlternateContent>
  <xr:revisionPtr revIDLastSave="0" documentId="11_26A62EEA3356DDCD1A1F2F2EBAD0F15B39727286" xr6:coauthVersionLast="47" xr6:coauthVersionMax="47" xr10:uidLastSave="{00000000-0000-0000-0000-000000000000}"/>
  <bookViews>
    <workbookView xWindow="-16545" yWindow="-16320" windowWidth="29040" windowHeight="15720" activeTab="3" xr2:uid="{00000000-000D-0000-FFFF-FFFF00000000}"/>
  </bookViews>
  <sheets>
    <sheet name="Bridge Summary" sheetId="1" r:id="rId1"/>
    <sheet name="Term Summary" sheetId="2" r:id="rId2"/>
    <sheet name="Bridge Loan" sheetId="3" r:id="rId3"/>
    <sheet name="Bridge Asset" sheetId="4" r:id="rId4"/>
    <sheet name="Term Loan" sheetId="5" r:id="rId5"/>
    <sheet name="Term Asset" sheetId="6" r:id="rId6"/>
    <sheet name="Pacific Life" sheetId="7" r:id="rId7"/>
    <sheet name="SSP Loans" sheetId="8" state="hidden" r:id="rId8"/>
    <sheet name="Legacy" sheetId="9" state="hidden" r:id="rId9"/>
    <sheet name="Strategy Groupings" sheetId="10" state="hidden" r:id="rId10"/>
  </sheets>
  <definedNames>
    <definedName name="_xlnm._FilterDatabase" localSheetId="3" hidden="1">'Bridge Asset'!$B$5:$DF$4695</definedName>
    <definedName name="_xlnm._FilterDatabase" localSheetId="2" hidden="1">'Bridge Loan'!$B$5:$BH$1060</definedName>
    <definedName name="_xlnm._FilterDatabase" localSheetId="5" hidden="1">'Term Asset'!$B$5:$Y$27156</definedName>
    <definedName name="_xlnm._FilterDatabase" localSheetId="4" hidden="1">'Term Loan'!$B$5:$AH$1192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9" l="1"/>
  <c r="AM1" i="7"/>
  <c r="AL1" i="7"/>
  <c r="T1" i="7"/>
  <c r="V6" i="6"/>
  <c r="T6" i="6"/>
  <c r="T4" i="6" s="1"/>
  <c r="T5" i="6"/>
  <c r="AG6" i="5"/>
  <c r="AF6" i="5"/>
  <c r="V6" i="5"/>
  <c r="U6" i="5"/>
  <c r="AE4" i="5"/>
  <c r="P4" i="5"/>
  <c r="DD6" i="4"/>
  <c r="DC6" i="4"/>
  <c r="DB6" i="4"/>
  <c r="DA6" i="4"/>
  <c r="CZ6" i="4"/>
  <c r="CY6" i="4"/>
  <c r="CX6" i="4"/>
  <c r="CW6" i="4"/>
  <c r="CU6" i="4"/>
  <c r="CT6" i="4"/>
  <c r="CS6" i="4"/>
  <c r="CR6" i="4"/>
  <c r="CO6" i="4"/>
  <c r="CP6" i="4" s="1"/>
  <c r="CM6" i="4"/>
  <c r="CN6" i="4" s="1"/>
  <c r="CL6" i="4"/>
  <c r="D46" i="1" s="1"/>
  <c r="AI6" i="4"/>
  <c r="DE4" i="4"/>
  <c r="DE6" i="4" s="1"/>
  <c r="CV6" i="4" s="1"/>
  <c r="CV4" i="4"/>
  <c r="CQ4" i="4"/>
  <c r="CQ6" i="4" s="1"/>
  <c r="AJ4" i="4"/>
  <c r="Z5" i="3"/>
  <c r="Z4" i="3"/>
  <c r="V4" i="3"/>
  <c r="V6" i="3" s="1"/>
  <c r="H33" i="2"/>
  <c r="E33" i="2"/>
  <c r="J29" i="2"/>
  <c r="I29" i="2"/>
  <c r="H29" i="2"/>
  <c r="G29" i="2"/>
  <c r="F29" i="2"/>
  <c r="E29" i="2"/>
  <c r="D29" i="2"/>
  <c r="C29" i="2"/>
  <c r="J28" i="2"/>
  <c r="I28" i="2"/>
  <c r="H28" i="2"/>
  <c r="G28" i="2"/>
  <c r="F28" i="2"/>
  <c r="E28" i="2"/>
  <c r="D28" i="2"/>
  <c r="C28" i="2"/>
  <c r="J27" i="2"/>
  <c r="I27" i="2"/>
  <c r="H27" i="2"/>
  <c r="G27" i="2"/>
  <c r="F27" i="2"/>
  <c r="E27" i="2"/>
  <c r="D27" i="2"/>
  <c r="C27" i="2"/>
  <c r="J26" i="2"/>
  <c r="I26" i="2"/>
  <c r="H26" i="2"/>
  <c r="G26" i="2"/>
  <c r="F26" i="2"/>
  <c r="E26" i="2"/>
  <c r="D26" i="2"/>
  <c r="C26" i="2"/>
  <c r="J25" i="2"/>
  <c r="J34" i="2" s="1"/>
  <c r="I25" i="2"/>
  <c r="I34" i="2" s="1"/>
  <c r="H25" i="2"/>
  <c r="H34" i="2" s="1"/>
  <c r="G25" i="2"/>
  <c r="G34" i="2" s="1"/>
  <c r="F25" i="2"/>
  <c r="E25" i="2"/>
  <c r="K25" i="2" s="1"/>
  <c r="D25" i="2"/>
  <c r="D34" i="2" s="1"/>
  <c r="C25" i="2"/>
  <c r="C34" i="2" s="1"/>
  <c r="J24" i="2"/>
  <c r="I24" i="2"/>
  <c r="H24" i="2"/>
  <c r="G24" i="2"/>
  <c r="F24" i="2"/>
  <c r="E24" i="2"/>
  <c r="K24" i="2" s="1"/>
  <c r="D24" i="2"/>
  <c r="C24" i="2"/>
  <c r="J23" i="2"/>
  <c r="I23" i="2"/>
  <c r="H23" i="2"/>
  <c r="G23" i="2"/>
  <c r="F23" i="2"/>
  <c r="E23" i="2"/>
  <c r="K23" i="2" s="1"/>
  <c r="L23" i="2" s="1"/>
  <c r="D23" i="2"/>
  <c r="C23" i="2"/>
  <c r="J22" i="2"/>
  <c r="I22" i="2"/>
  <c r="H22" i="2"/>
  <c r="G22" i="2"/>
  <c r="F22" i="2"/>
  <c r="E22" i="2"/>
  <c r="K22" i="2" s="1"/>
  <c r="D22" i="2"/>
  <c r="C22" i="2"/>
  <c r="J21" i="2"/>
  <c r="I21" i="2"/>
  <c r="H21" i="2"/>
  <c r="G21" i="2"/>
  <c r="F21" i="2"/>
  <c r="E21" i="2"/>
  <c r="D21" i="2"/>
  <c r="C21" i="2"/>
  <c r="J20" i="2"/>
  <c r="I20" i="2"/>
  <c r="H20" i="2"/>
  <c r="G20" i="2"/>
  <c r="F20" i="2"/>
  <c r="K20" i="2" s="1"/>
  <c r="E20" i="2"/>
  <c r="D20" i="2"/>
  <c r="C20" i="2"/>
  <c r="J19" i="2"/>
  <c r="I19" i="2"/>
  <c r="H19" i="2"/>
  <c r="G19" i="2"/>
  <c r="F19" i="2"/>
  <c r="E19" i="2"/>
  <c r="D19" i="2"/>
  <c r="C19" i="2"/>
  <c r="J18" i="2"/>
  <c r="I18" i="2"/>
  <c r="H18" i="2"/>
  <c r="G18" i="2"/>
  <c r="F18" i="2"/>
  <c r="E18" i="2"/>
  <c r="D18" i="2"/>
  <c r="C18" i="2"/>
  <c r="J17" i="2"/>
  <c r="I17" i="2"/>
  <c r="H17" i="2"/>
  <c r="G17" i="2"/>
  <c r="F17" i="2"/>
  <c r="E17" i="2"/>
  <c r="D17" i="2"/>
  <c r="C17" i="2"/>
  <c r="J16" i="2"/>
  <c r="I16" i="2"/>
  <c r="H16" i="2"/>
  <c r="G16" i="2"/>
  <c r="F16" i="2"/>
  <c r="E16" i="2"/>
  <c r="D16" i="2"/>
  <c r="C16" i="2"/>
  <c r="J15" i="2"/>
  <c r="I15" i="2"/>
  <c r="H15" i="2"/>
  <c r="G15" i="2"/>
  <c r="F15" i="2"/>
  <c r="E15" i="2"/>
  <c r="D15" i="2"/>
  <c r="C15" i="2"/>
  <c r="J14" i="2"/>
  <c r="I14" i="2"/>
  <c r="H14" i="2"/>
  <c r="G14" i="2"/>
  <c r="F14" i="2"/>
  <c r="E14" i="2"/>
  <c r="D14" i="2"/>
  <c r="C14" i="2"/>
  <c r="J13" i="2"/>
  <c r="I13" i="2"/>
  <c r="H13" i="2"/>
  <c r="G13" i="2"/>
  <c r="F13" i="2"/>
  <c r="E13" i="2"/>
  <c r="D13" i="2"/>
  <c r="C13" i="2"/>
  <c r="J12" i="2"/>
  <c r="I12" i="2"/>
  <c r="H12" i="2"/>
  <c r="G12" i="2"/>
  <c r="F12" i="2"/>
  <c r="E12" i="2"/>
  <c r="D12" i="2"/>
  <c r="C12" i="2"/>
  <c r="J11" i="2"/>
  <c r="I11" i="2"/>
  <c r="H11" i="2"/>
  <c r="G11" i="2"/>
  <c r="F11" i="2"/>
  <c r="E11" i="2"/>
  <c r="K11" i="2" s="1"/>
  <c r="D11" i="2"/>
  <c r="C11" i="2"/>
  <c r="J10" i="2"/>
  <c r="I10" i="2"/>
  <c r="H10" i="2"/>
  <c r="G10" i="2"/>
  <c r="F10" i="2"/>
  <c r="E10" i="2"/>
  <c r="D10" i="2"/>
  <c r="C10" i="2"/>
  <c r="J9" i="2"/>
  <c r="I9" i="2"/>
  <c r="H9" i="2"/>
  <c r="G9" i="2"/>
  <c r="F9" i="2"/>
  <c r="E9" i="2"/>
  <c r="D9" i="2"/>
  <c r="C9" i="2"/>
  <c r="J8" i="2"/>
  <c r="I8" i="2"/>
  <c r="H8" i="2"/>
  <c r="G8" i="2"/>
  <c r="F8" i="2"/>
  <c r="E8" i="2"/>
  <c r="K8" i="2" s="1"/>
  <c r="L8" i="2" s="1"/>
  <c r="D8" i="2"/>
  <c r="C8" i="2"/>
  <c r="J6" i="2"/>
  <c r="J33" i="2" s="1"/>
  <c r="I6" i="2"/>
  <c r="I33" i="2" s="1"/>
  <c r="H6" i="2"/>
  <c r="G6" i="2"/>
  <c r="F6" i="2"/>
  <c r="E6" i="2"/>
  <c r="D6" i="2"/>
  <c r="C6" i="2"/>
  <c r="C47" i="1"/>
  <c r="C46" i="1"/>
  <c r="D45" i="1"/>
  <c r="C45" i="1"/>
  <c r="C44" i="1"/>
  <c r="D43" i="1"/>
  <c r="C43" i="1"/>
  <c r="D41" i="1"/>
  <c r="D42" i="1" s="1"/>
  <c r="C41" i="1"/>
  <c r="C42" i="1" s="1"/>
  <c r="L40" i="1"/>
  <c r="D34" i="1"/>
  <c r="C34" i="1"/>
  <c r="D33" i="1"/>
  <c r="C33" i="1"/>
  <c r="D32" i="1"/>
  <c r="C32" i="1"/>
  <c r="C35" i="1" s="1"/>
  <c r="C36" i="1" s="1"/>
  <c r="H31" i="1"/>
  <c r="F31" i="1"/>
  <c r="D31" i="1"/>
  <c r="C31" i="1"/>
  <c r="D30" i="1"/>
  <c r="C30" i="1"/>
  <c r="Q29" i="1"/>
  <c r="Q40" i="1" s="1"/>
  <c r="P29" i="1"/>
  <c r="P40" i="1" s="1"/>
  <c r="O29" i="1"/>
  <c r="O40" i="1" s="1"/>
  <c r="N29" i="1"/>
  <c r="N40" i="1" s="1"/>
  <c r="L29" i="1"/>
  <c r="K29" i="1"/>
  <c r="K40" i="1" s="1"/>
  <c r="J29" i="1"/>
  <c r="J30" i="1" s="1"/>
  <c r="I29" i="1"/>
  <c r="I31" i="1" s="1"/>
  <c r="H29" i="1"/>
  <c r="H30" i="1" s="1"/>
  <c r="G29" i="1"/>
  <c r="G34" i="1" s="1"/>
  <c r="F29" i="1"/>
  <c r="F33" i="1" s="1"/>
  <c r="E29" i="1"/>
  <c r="E33" i="1" s="1"/>
  <c r="D29" i="1"/>
  <c r="D40" i="1" s="1"/>
  <c r="C29" i="1"/>
  <c r="C40" i="1" s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K17" i="1" s="1"/>
  <c r="L17" i="1" s="1"/>
  <c r="O17" i="1" s="1"/>
  <c r="E17" i="1"/>
  <c r="D17" i="1"/>
  <c r="C17" i="1"/>
  <c r="J16" i="1"/>
  <c r="I16" i="1"/>
  <c r="H16" i="1"/>
  <c r="G16" i="1"/>
  <c r="F16" i="1"/>
  <c r="E16" i="1"/>
  <c r="D16" i="1"/>
  <c r="C16" i="1"/>
  <c r="J15" i="1"/>
  <c r="I15" i="1"/>
  <c r="H15" i="1"/>
  <c r="G15" i="1"/>
  <c r="F15" i="1"/>
  <c r="E15" i="1"/>
  <c r="K15" i="1" s="1"/>
  <c r="D15" i="1"/>
  <c r="C15" i="1"/>
  <c r="J14" i="1"/>
  <c r="I14" i="1"/>
  <c r="H14" i="1"/>
  <c r="G14" i="1"/>
  <c r="F14" i="1"/>
  <c r="E14" i="1"/>
  <c r="D14" i="1"/>
  <c r="C14" i="1"/>
  <c r="J13" i="1"/>
  <c r="I13" i="1"/>
  <c r="H13" i="1"/>
  <c r="G13" i="1"/>
  <c r="F13" i="1"/>
  <c r="E13" i="1"/>
  <c r="K13" i="1" s="1"/>
  <c r="D13" i="1"/>
  <c r="C13" i="1"/>
  <c r="J12" i="1"/>
  <c r="I12" i="1"/>
  <c r="H12" i="1"/>
  <c r="G12" i="1"/>
  <c r="F12" i="1"/>
  <c r="E12" i="1"/>
  <c r="K12" i="1" s="1"/>
  <c r="L12" i="1" s="1"/>
  <c r="D12" i="1"/>
  <c r="C12" i="1"/>
  <c r="J11" i="1"/>
  <c r="I11" i="1"/>
  <c r="H11" i="1"/>
  <c r="G11" i="1"/>
  <c r="F11" i="1"/>
  <c r="E11" i="1"/>
  <c r="D11" i="1"/>
  <c r="C11" i="1"/>
  <c r="J10" i="1"/>
  <c r="I10" i="1"/>
  <c r="H10" i="1"/>
  <c r="G10" i="1"/>
  <c r="F10" i="1"/>
  <c r="E10" i="1"/>
  <c r="D10" i="1"/>
  <c r="C10" i="1"/>
  <c r="J9" i="1"/>
  <c r="I9" i="1"/>
  <c r="H9" i="1"/>
  <c r="G9" i="1"/>
  <c r="F9" i="1"/>
  <c r="K9" i="1" s="1"/>
  <c r="L9" i="1" s="1"/>
  <c r="O9" i="1" s="1"/>
  <c r="E9" i="1"/>
  <c r="D9" i="1"/>
  <c r="C9" i="1"/>
  <c r="J8" i="1"/>
  <c r="I8" i="1"/>
  <c r="H8" i="1"/>
  <c r="G8" i="1"/>
  <c r="F8" i="1"/>
  <c r="E8" i="1"/>
  <c r="D8" i="1"/>
  <c r="C8" i="1"/>
  <c r="J6" i="1"/>
  <c r="I6" i="1"/>
  <c r="I23" i="1" s="1"/>
  <c r="H6" i="1"/>
  <c r="G6" i="1"/>
  <c r="G23" i="1" s="1"/>
  <c r="F6" i="1"/>
  <c r="E6" i="1"/>
  <c r="E23" i="1" s="1"/>
  <c r="D6" i="1"/>
  <c r="C6" i="1"/>
  <c r="C23" i="1" s="1"/>
  <c r="J7" i="2" l="1"/>
  <c r="G33" i="1"/>
  <c r="K18" i="1"/>
  <c r="Q18" i="1" s="1"/>
  <c r="H33" i="1"/>
  <c r="K28" i="2"/>
  <c r="AE6" i="5"/>
  <c r="F32" i="1"/>
  <c r="K14" i="2"/>
  <c r="L14" i="2" s="1"/>
  <c r="P14" i="2" s="1"/>
  <c r="H35" i="2"/>
  <c r="I32" i="1"/>
  <c r="AH6" i="5"/>
  <c r="F34" i="1"/>
  <c r="G32" i="1"/>
  <c r="G7" i="2"/>
  <c r="G30" i="2" s="1"/>
  <c r="G31" i="2" s="1"/>
  <c r="I33" i="1"/>
  <c r="K33" i="1" s="1"/>
  <c r="L33" i="1" s="1"/>
  <c r="E7" i="2"/>
  <c r="E30" i="2" s="1"/>
  <c r="E31" i="2" s="1"/>
  <c r="K10" i="1"/>
  <c r="L10" i="1" s="1"/>
  <c r="O10" i="1" s="1"/>
  <c r="F7" i="2"/>
  <c r="F7" i="1"/>
  <c r="F24" i="1" s="1"/>
  <c r="K16" i="1"/>
  <c r="Q16" i="1" s="1"/>
  <c r="G7" i="1"/>
  <c r="G24" i="1" s="1"/>
  <c r="G25" i="1" s="1"/>
  <c r="H7" i="1"/>
  <c r="H24" i="1" s="1"/>
  <c r="H34" i="1"/>
  <c r="K15" i="2"/>
  <c r="L15" i="2" s="1"/>
  <c r="I7" i="1"/>
  <c r="I24" i="1" s="1"/>
  <c r="E30" i="1"/>
  <c r="J34" i="1"/>
  <c r="H7" i="2"/>
  <c r="H30" i="2" s="1"/>
  <c r="H31" i="2" s="1"/>
  <c r="E34" i="2"/>
  <c r="K18" i="2"/>
  <c r="L18" i="2" s="1"/>
  <c r="O18" i="2" s="1"/>
  <c r="F34" i="2"/>
  <c r="C48" i="1"/>
  <c r="C49" i="1" s="1"/>
  <c r="J7" i="1"/>
  <c r="K14" i="1"/>
  <c r="L14" i="1" s="1"/>
  <c r="P14" i="1" s="1"/>
  <c r="G30" i="1"/>
  <c r="K29" i="2"/>
  <c r="L29" i="2" s="1"/>
  <c r="O29" i="2" s="1"/>
  <c r="C7" i="2"/>
  <c r="C30" i="2" s="1"/>
  <c r="C31" i="2" s="1"/>
  <c r="K13" i="2"/>
  <c r="Q13" i="2" s="1"/>
  <c r="D7" i="2"/>
  <c r="D30" i="2" s="1"/>
  <c r="D31" i="2" s="1"/>
  <c r="E35" i="2"/>
  <c r="F30" i="1"/>
  <c r="F35" i="1" s="1"/>
  <c r="F36" i="1" s="1"/>
  <c r="P15" i="2"/>
  <c r="K16" i="2"/>
  <c r="Q16" i="2" s="1"/>
  <c r="I30" i="1"/>
  <c r="F40" i="1"/>
  <c r="F43" i="1" s="1"/>
  <c r="K10" i="2"/>
  <c r="L10" i="2" s="1"/>
  <c r="H40" i="1"/>
  <c r="H43" i="1" s="1"/>
  <c r="D35" i="1"/>
  <c r="D36" i="1" s="1"/>
  <c r="O8" i="2"/>
  <c r="N8" i="2"/>
  <c r="P8" i="2"/>
  <c r="O12" i="1"/>
  <c r="P12" i="1"/>
  <c r="N12" i="1"/>
  <c r="N10" i="1"/>
  <c r="O14" i="1"/>
  <c r="N14" i="1"/>
  <c r="L18" i="1"/>
  <c r="J24" i="1"/>
  <c r="Q11" i="2"/>
  <c r="L11" i="2"/>
  <c r="P11" i="2"/>
  <c r="O10" i="2"/>
  <c r="N10" i="2"/>
  <c r="L28" i="2"/>
  <c r="Q28" i="2"/>
  <c r="I20" i="1"/>
  <c r="Q15" i="2"/>
  <c r="DF6" i="4"/>
  <c r="H23" i="1"/>
  <c r="K9" i="2"/>
  <c r="I7" i="2"/>
  <c r="K21" i="2"/>
  <c r="L21" i="2" s="1"/>
  <c r="P23" i="2"/>
  <c r="Q23" i="2"/>
  <c r="O15" i="2"/>
  <c r="N15" i="2"/>
  <c r="L25" i="2"/>
  <c r="Q25" i="2"/>
  <c r="N9" i="1"/>
  <c r="Q13" i="1"/>
  <c r="L13" i="1"/>
  <c r="N17" i="1"/>
  <c r="P9" i="1"/>
  <c r="P17" i="1"/>
  <c r="Q22" i="2"/>
  <c r="L22" i="2"/>
  <c r="Q8" i="1"/>
  <c r="E31" i="1"/>
  <c r="K12" i="2"/>
  <c r="Q15" i="1"/>
  <c r="L15" i="1"/>
  <c r="K11" i="1"/>
  <c r="L11" i="1" s="1"/>
  <c r="P11" i="1" s="1"/>
  <c r="I35" i="2"/>
  <c r="Q9" i="1"/>
  <c r="Q17" i="1"/>
  <c r="J35" i="2"/>
  <c r="Q20" i="2"/>
  <c r="L20" i="2"/>
  <c r="O23" i="2"/>
  <c r="N23" i="2"/>
  <c r="F20" i="1"/>
  <c r="F21" i="1" s="1"/>
  <c r="F23" i="1"/>
  <c r="Q12" i="1"/>
  <c r="Q24" i="2"/>
  <c r="L24" i="2"/>
  <c r="C7" i="1"/>
  <c r="K6" i="2"/>
  <c r="N18" i="2"/>
  <c r="E40" i="1"/>
  <c r="G40" i="1"/>
  <c r="K19" i="1"/>
  <c r="L19" i="1" s="1"/>
  <c r="P29" i="2"/>
  <c r="D7" i="1"/>
  <c r="D24" i="1" s="1"/>
  <c r="Q14" i="1"/>
  <c r="K6" i="1"/>
  <c r="Q6" i="1" s="1"/>
  <c r="P21" i="2"/>
  <c r="H35" i="1"/>
  <c r="H36" i="1" s="1"/>
  <c r="E34" i="1"/>
  <c r="K34" i="1" s="1"/>
  <c r="L34" i="1" s="1"/>
  <c r="Q29" i="2"/>
  <c r="G31" i="1"/>
  <c r="G35" i="1" s="1"/>
  <c r="G36" i="1" s="1"/>
  <c r="K17" i="2"/>
  <c r="E7" i="1"/>
  <c r="K8" i="1"/>
  <c r="L8" i="1" s="1"/>
  <c r="J23" i="1"/>
  <c r="J20" i="1"/>
  <c r="I34" i="1"/>
  <c r="K19" i="2"/>
  <c r="L19" i="2" s="1"/>
  <c r="P19" i="2" s="1"/>
  <c r="K27" i="2"/>
  <c r="I40" i="1"/>
  <c r="P10" i="2"/>
  <c r="E32" i="1"/>
  <c r="F30" i="2"/>
  <c r="F31" i="2" s="1"/>
  <c r="C33" i="2"/>
  <c r="C35" i="2" s="1"/>
  <c r="J30" i="2"/>
  <c r="D33" i="2"/>
  <c r="D35" i="2" s="1"/>
  <c r="D23" i="1"/>
  <c r="H32" i="1"/>
  <c r="H46" i="1"/>
  <c r="F33" i="2"/>
  <c r="F35" i="2" s="1"/>
  <c r="G33" i="2"/>
  <c r="G35" i="2" s="1"/>
  <c r="J32" i="1"/>
  <c r="Q8" i="2"/>
  <c r="J40" i="1"/>
  <c r="K26" i="2"/>
  <c r="L26" i="2" s="1"/>
  <c r="J31" i="1"/>
  <c r="D47" i="1"/>
  <c r="D44" i="1"/>
  <c r="D48" i="1" s="1"/>
  <c r="D49" i="1" s="1"/>
  <c r="H47" i="1"/>
  <c r="J33" i="1"/>
  <c r="H44" i="1"/>
  <c r="Q14" i="2" l="1"/>
  <c r="Q18" i="2"/>
  <c r="L16" i="2"/>
  <c r="P16" i="2" s="1"/>
  <c r="Q19" i="1"/>
  <c r="L13" i="2"/>
  <c r="P13" i="2" s="1"/>
  <c r="F47" i="1"/>
  <c r="H20" i="1"/>
  <c r="H21" i="1" s="1"/>
  <c r="G20" i="1"/>
  <c r="G21" i="1" s="1"/>
  <c r="P10" i="1"/>
  <c r="K7" i="2"/>
  <c r="L7" i="2" s="1"/>
  <c r="P7" i="2" s="1"/>
  <c r="P18" i="2"/>
  <c r="Q10" i="1"/>
  <c r="N29" i="2"/>
  <c r="Q10" i="2"/>
  <c r="K30" i="1"/>
  <c r="L16" i="1"/>
  <c r="O16" i="1" s="1"/>
  <c r="H41" i="1"/>
  <c r="H42" i="1" s="1"/>
  <c r="H45" i="1"/>
  <c r="H25" i="1"/>
  <c r="F25" i="1"/>
  <c r="F41" i="1"/>
  <c r="F42" i="1" s="1"/>
  <c r="F46" i="1"/>
  <c r="F44" i="1"/>
  <c r="F45" i="1"/>
  <c r="Q27" i="2"/>
  <c r="L27" i="2"/>
  <c r="Q12" i="2"/>
  <c r="L12" i="2"/>
  <c r="O11" i="2"/>
  <c r="N11" i="2"/>
  <c r="O34" i="1"/>
  <c r="N34" i="1"/>
  <c r="P26" i="2"/>
  <c r="O26" i="2"/>
  <c r="N26" i="2"/>
  <c r="Q26" i="2"/>
  <c r="O13" i="2"/>
  <c r="N13" i="2"/>
  <c r="O24" i="2"/>
  <c r="N24" i="2"/>
  <c r="P20" i="2"/>
  <c r="O20" i="2"/>
  <c r="N20" i="2"/>
  <c r="I30" i="2"/>
  <c r="O19" i="1"/>
  <c r="N19" i="1"/>
  <c r="P19" i="1"/>
  <c r="O21" i="2"/>
  <c r="N21" i="2"/>
  <c r="Q19" i="2"/>
  <c r="G43" i="1"/>
  <c r="G46" i="1"/>
  <c r="G47" i="1"/>
  <c r="G44" i="1"/>
  <c r="G41" i="1"/>
  <c r="G42" i="1" s="1"/>
  <c r="G45" i="1"/>
  <c r="O13" i="1"/>
  <c r="P13" i="1"/>
  <c r="N13" i="1"/>
  <c r="O16" i="2"/>
  <c r="N16" i="2"/>
  <c r="O19" i="2"/>
  <c r="N19" i="2"/>
  <c r="P22" i="2"/>
  <c r="O22" i="2"/>
  <c r="N22" i="2"/>
  <c r="Q9" i="2"/>
  <c r="L9" i="2"/>
  <c r="E24" i="1"/>
  <c r="K7" i="1"/>
  <c r="E20" i="1"/>
  <c r="E21" i="1" s="1"/>
  <c r="L17" i="2"/>
  <c r="Q17" i="2"/>
  <c r="Q21" i="2"/>
  <c r="K34" i="2"/>
  <c r="Q34" i="2" s="1"/>
  <c r="K23" i="1"/>
  <c r="L23" i="1" s="1"/>
  <c r="C24" i="1"/>
  <c r="C25" i="1" s="1"/>
  <c r="C20" i="1"/>
  <c r="C21" i="1" s="1"/>
  <c r="P34" i="1"/>
  <c r="K31" i="1"/>
  <c r="L31" i="1" s="1"/>
  <c r="E35" i="1"/>
  <c r="J21" i="1"/>
  <c r="Q21" i="1" s="1"/>
  <c r="Q20" i="1"/>
  <c r="J31" i="2"/>
  <c r="O33" i="1"/>
  <c r="N33" i="1"/>
  <c r="P33" i="1"/>
  <c r="I45" i="1"/>
  <c r="I46" i="1"/>
  <c r="I43" i="1"/>
  <c r="I41" i="1"/>
  <c r="I44" i="1"/>
  <c r="I47" i="1"/>
  <c r="P24" i="2"/>
  <c r="E47" i="1"/>
  <c r="E44" i="1"/>
  <c r="E46" i="1"/>
  <c r="E43" i="1"/>
  <c r="E41" i="1"/>
  <c r="E45" i="1"/>
  <c r="O15" i="1"/>
  <c r="P15" i="1"/>
  <c r="N15" i="1"/>
  <c r="I21" i="1"/>
  <c r="L6" i="1"/>
  <c r="K20" i="1"/>
  <c r="K21" i="1" s="1"/>
  <c r="J44" i="1"/>
  <c r="J47" i="1"/>
  <c r="J45" i="1"/>
  <c r="J43" i="1"/>
  <c r="J46" i="1"/>
  <c r="J41" i="1"/>
  <c r="J25" i="1"/>
  <c r="J35" i="1"/>
  <c r="O18" i="1"/>
  <c r="P18" i="1"/>
  <c r="N18" i="1"/>
  <c r="I35" i="1"/>
  <c r="Q34" i="1"/>
  <c r="D20" i="1"/>
  <c r="D21" i="1" s="1"/>
  <c r="O8" i="1"/>
  <c r="N8" i="1"/>
  <c r="P8" i="1"/>
  <c r="D25" i="1"/>
  <c r="O14" i="2"/>
  <c r="N14" i="2"/>
  <c r="N11" i="1"/>
  <c r="O11" i="1"/>
  <c r="L34" i="2"/>
  <c r="O25" i="2"/>
  <c r="N25" i="2"/>
  <c r="P25" i="2"/>
  <c r="I25" i="1"/>
  <c r="Q33" i="1"/>
  <c r="K32" i="1"/>
  <c r="L32" i="1" s="1"/>
  <c r="Q11" i="1"/>
  <c r="O28" i="2"/>
  <c r="N28" i="2"/>
  <c r="P28" i="2"/>
  <c r="N7" i="2"/>
  <c r="O7" i="2"/>
  <c r="L6" i="2"/>
  <c r="K33" i="2"/>
  <c r="Q6" i="2"/>
  <c r="L30" i="1" l="1"/>
  <c r="Q30" i="1"/>
  <c r="K43" i="1"/>
  <c r="L43" i="1" s="1"/>
  <c r="P16" i="1"/>
  <c r="N16" i="1"/>
  <c r="Q23" i="1"/>
  <c r="F48" i="1"/>
  <c r="F49" i="1" s="1"/>
  <c r="K30" i="2"/>
  <c r="Q7" i="2"/>
  <c r="H48" i="1"/>
  <c r="H49" i="1" s="1"/>
  <c r="I31" i="2"/>
  <c r="I36" i="1"/>
  <c r="K45" i="1"/>
  <c r="L45" i="1" s="1"/>
  <c r="P45" i="1" s="1"/>
  <c r="E36" i="1"/>
  <c r="K35" i="1"/>
  <c r="L35" i="1" s="1"/>
  <c r="O32" i="1"/>
  <c r="N32" i="1"/>
  <c r="P32" i="1"/>
  <c r="K41" i="1"/>
  <c r="Q41" i="1" s="1"/>
  <c r="E42" i="1"/>
  <c r="E48" i="1" s="1"/>
  <c r="E49" i="1" s="1"/>
  <c r="O31" i="1"/>
  <c r="N31" i="1"/>
  <c r="P31" i="1"/>
  <c r="J36" i="1"/>
  <c r="Q35" i="1"/>
  <c r="O43" i="1"/>
  <c r="N43" i="1"/>
  <c r="K46" i="1"/>
  <c r="L46" i="1" s="1"/>
  <c r="K44" i="1"/>
  <c r="L44" i="1" s="1"/>
  <c r="P44" i="1" s="1"/>
  <c r="K47" i="1"/>
  <c r="L47" i="1" s="1"/>
  <c r="P47" i="1" s="1"/>
  <c r="N23" i="1"/>
  <c r="O23" i="1"/>
  <c r="P23" i="1"/>
  <c r="G48" i="1"/>
  <c r="G49" i="1" s="1"/>
  <c r="O34" i="2"/>
  <c r="N34" i="2"/>
  <c r="P34" i="2"/>
  <c r="Q31" i="1"/>
  <c r="J42" i="1"/>
  <c r="I42" i="1"/>
  <c r="O17" i="2"/>
  <c r="N17" i="2"/>
  <c r="P17" i="2"/>
  <c r="Q43" i="1"/>
  <c r="P43" i="1"/>
  <c r="Q45" i="1"/>
  <c r="L7" i="1"/>
  <c r="L20" i="1" s="1"/>
  <c r="Q7" i="1"/>
  <c r="K24" i="1"/>
  <c r="E25" i="1"/>
  <c r="K25" i="1" s="1"/>
  <c r="L25" i="1" s="1"/>
  <c r="P25" i="1" s="1"/>
  <c r="O9" i="2"/>
  <c r="P9" i="2"/>
  <c r="N9" i="2"/>
  <c r="O12" i="2"/>
  <c r="P12" i="2"/>
  <c r="N12" i="2"/>
  <c r="K35" i="2"/>
  <c r="Q35" i="2" s="1"/>
  <c r="Q33" i="2"/>
  <c r="O6" i="1"/>
  <c r="N6" i="1"/>
  <c r="P6" i="1"/>
  <c r="O27" i="2"/>
  <c r="N27" i="2"/>
  <c r="P27" i="2"/>
  <c r="O6" i="2"/>
  <c r="L33" i="2"/>
  <c r="L30" i="2"/>
  <c r="N6" i="2"/>
  <c r="P6" i="2"/>
  <c r="Q32" i="1"/>
  <c r="K31" i="2" l="1"/>
  <c r="Q31" i="2" s="1"/>
  <c r="Q30" i="2"/>
  <c r="P30" i="1"/>
  <c r="N30" i="1"/>
  <c r="O30" i="1"/>
  <c r="O46" i="1"/>
  <c r="N46" i="1"/>
  <c r="L21" i="1"/>
  <c r="O20" i="1"/>
  <c r="N20" i="1"/>
  <c r="P20" i="1"/>
  <c r="I48" i="1"/>
  <c r="Q36" i="1"/>
  <c r="Q46" i="1"/>
  <c r="J48" i="1"/>
  <c r="L41" i="1"/>
  <c r="K42" i="1"/>
  <c r="K48" i="1" s="1"/>
  <c r="K49" i="1" s="1"/>
  <c r="Q44" i="1"/>
  <c r="Q25" i="1"/>
  <c r="O25" i="1"/>
  <c r="N25" i="1"/>
  <c r="L24" i="1"/>
  <c r="Q24" i="1"/>
  <c r="O35" i="1"/>
  <c r="N35" i="1"/>
  <c r="K36" i="1"/>
  <c r="L36" i="1" s="1"/>
  <c r="L31" i="2"/>
  <c r="O30" i="2"/>
  <c r="N30" i="2"/>
  <c r="Q47" i="1"/>
  <c r="O45" i="1"/>
  <c r="N45" i="1"/>
  <c r="L35" i="2"/>
  <c r="O33" i="2"/>
  <c r="N33" i="2"/>
  <c r="P33" i="2"/>
  <c r="P36" i="1"/>
  <c r="N7" i="1"/>
  <c r="O7" i="1"/>
  <c r="P7" i="1"/>
  <c r="P35" i="1"/>
  <c r="P46" i="1"/>
  <c r="O47" i="1"/>
  <c r="N47" i="1"/>
  <c r="P30" i="2"/>
  <c r="O44" i="1"/>
  <c r="N44" i="1"/>
  <c r="O24" i="1" l="1"/>
  <c r="N24" i="1"/>
  <c r="P24" i="1"/>
  <c r="L42" i="1"/>
  <c r="O41" i="1"/>
  <c r="N41" i="1"/>
  <c r="P41" i="1"/>
  <c r="Q48" i="1"/>
  <c r="J49" i="1"/>
  <c r="Q49" i="1" s="1"/>
  <c r="Q42" i="1"/>
  <c r="O35" i="2"/>
  <c r="N35" i="2"/>
  <c r="P35" i="2"/>
  <c r="I49" i="1"/>
  <c r="O21" i="1"/>
  <c r="N21" i="1"/>
  <c r="P21" i="1"/>
  <c r="O31" i="2"/>
  <c r="N31" i="2"/>
  <c r="P31" i="2"/>
  <c r="O36" i="1"/>
  <c r="N36" i="1"/>
  <c r="O42" i="1" l="1"/>
  <c r="L48" i="1"/>
  <c r="N42" i="1"/>
  <c r="P42" i="1"/>
  <c r="O48" i="1" l="1"/>
  <c r="N48" i="1"/>
  <c r="L49" i="1"/>
  <c r="P48" i="1"/>
  <c r="O49" i="1" l="1"/>
  <c r="N49" i="1"/>
  <c r="P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Hayden Keown</author>
  </authors>
  <commentList>
    <comment ref="B14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Hayden Keown:
Excludes Legacy Loans in R1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Hayden Keown</author>
  </authors>
  <commentList>
    <comment ref="DE3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Hayden Keown:
Current FQ End Date</t>
        </r>
      </text>
    </comment>
    <comment ref="DE4" authorId="0" shapeId="0" xr:uid="{00000000-0006-0000-0300-000002000000}">
      <text>
        <r>
          <rPr>
            <sz val="11"/>
            <color theme="1"/>
            <rFont val="Aptos Narrow"/>
            <family val="2"/>
            <scheme val="minor"/>
          </rPr>
          <t>Hayden Keown:
Current FQ DQ 90+ Cutoff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Hayden Keown</author>
  </authors>
  <commentList>
    <comment ref="AE2" authorId="0" shapeId="0" xr:uid="{00000000-0006-0000-0400-000001000000}">
      <text>
        <r>
          <rPr>
            <sz val="11"/>
            <color theme="1"/>
            <rFont val="Aptos Narrow"/>
            <family val="2"/>
            <scheme val="minor"/>
          </rPr>
          <t>Hayden Keown:
Current FQ End Date</t>
        </r>
      </text>
    </comment>
    <comment ref="AE4" authorId="0" shapeId="0" xr:uid="{00000000-0006-0000-0400-000002000000}">
      <text>
        <r>
          <rPr>
            <sz val="11"/>
            <color theme="1"/>
            <rFont val="Aptos Narrow"/>
            <family val="2"/>
            <scheme val="minor"/>
          </rPr>
          <t>Hayden Keown:
Current FQ DQ 90+ Cutoff</t>
        </r>
      </text>
    </comment>
  </commentList>
</comments>
</file>

<file path=xl/sharedStrings.xml><?xml version="1.0" encoding="utf-8"?>
<sst xmlns="http://schemas.openxmlformats.org/spreadsheetml/2006/main" count="693" uniqueCount="458">
  <si>
    <t>Bridge Portfolio</t>
  </si>
  <si>
    <t>Summary by Segment:</t>
  </si>
  <si>
    <t>Loan Count</t>
  </si>
  <si>
    <t>Asset Count</t>
  </si>
  <si>
    <t>Current</t>
  </si>
  <si>
    <t>DQ 1-29</t>
  </si>
  <si>
    <t>DQ 30-59</t>
  </si>
  <si>
    <t>DQ 60-89</t>
  </si>
  <si>
    <t>DQ 90+</t>
  </si>
  <si>
    <t>REO</t>
  </si>
  <si>
    <t>Total</t>
  </si>
  <si>
    <t>Total Ex. REO</t>
  </si>
  <si>
    <t>DQ 30+ %</t>
  </si>
  <si>
    <t>DQ 60+ %</t>
  </si>
  <si>
    <t>DQ 90+ %</t>
  </si>
  <si>
    <t>REO %</t>
  </si>
  <si>
    <t>Legacy</t>
  </si>
  <si>
    <t>Securitized Bridge</t>
  </si>
  <si>
    <t>CAFL 2024-RTL1 CPP</t>
  </si>
  <si>
    <t>CAFL 2024-RTL1 CV</t>
  </si>
  <si>
    <t>CAFL 2025-RRTL1 CPP</t>
  </si>
  <si>
    <t>CAFL 2025-RRTL1 CV</t>
  </si>
  <si>
    <t>CAFL 2025-RRTL2 CPP</t>
  </si>
  <si>
    <t>CAFL 2025-RRTL2 CV</t>
  </si>
  <si>
    <t>CAFL 2026-R1 CV</t>
  </si>
  <si>
    <t>Mortgage Banking</t>
  </si>
  <si>
    <t>SSP</t>
  </si>
  <si>
    <t>CPP JV</t>
  </si>
  <si>
    <t>Oaktree JV</t>
  </si>
  <si>
    <t>Sold Servicing Retained</t>
  </si>
  <si>
    <t>Total Bridge</t>
  </si>
  <si>
    <t>Total Bridge (Ex. Sold)</t>
  </si>
  <si>
    <t>Legacy Bridge</t>
  </si>
  <si>
    <t>Non-Legacy Bridge</t>
  </si>
  <si>
    <t>Balance Sheet Bridge</t>
  </si>
  <si>
    <t>Summary by Strategy:</t>
  </si>
  <si>
    <t>Renovate / Build to Rent</t>
  </si>
  <si>
    <t>Single Asset Bridge</t>
  </si>
  <si>
    <t>Multifamily</t>
  </si>
  <si>
    <t>Other</t>
  </si>
  <si>
    <t>Sold</t>
  </si>
  <si>
    <t xml:space="preserve">Summary by Product: </t>
  </si>
  <si>
    <t>Single Asset Bridge (Ex. Sold)</t>
  </si>
  <si>
    <t>Credit Line</t>
  </si>
  <si>
    <t>Multifamily/CRE</t>
  </si>
  <si>
    <t>Build to Rent</t>
  </si>
  <si>
    <t>5A Bridge</t>
  </si>
  <si>
    <t>Purchased Bridge</t>
  </si>
  <si>
    <t>Term Portfolio</t>
  </si>
  <si>
    <t>Securitized Term</t>
  </si>
  <si>
    <t>2017-2</t>
  </si>
  <si>
    <t>2018-1</t>
  </si>
  <si>
    <t>2018-2</t>
  </si>
  <si>
    <t>2019-1</t>
  </si>
  <si>
    <t>2019-2</t>
  </si>
  <si>
    <t>2019-3</t>
  </si>
  <si>
    <t>2020-1</t>
  </si>
  <si>
    <t>2020-2</t>
  </si>
  <si>
    <t>2020-3</t>
  </si>
  <si>
    <t>2020-4</t>
  </si>
  <si>
    <t>2020-P1</t>
  </si>
  <si>
    <t>2021-1</t>
  </si>
  <si>
    <t>2021-2</t>
  </si>
  <si>
    <t>2021-3</t>
  </si>
  <si>
    <t>2022-1</t>
  </si>
  <si>
    <t>2022-P2</t>
  </si>
  <si>
    <t>2023-P1</t>
  </si>
  <si>
    <t>DSCR</t>
  </si>
  <si>
    <t>Apollo</t>
  </si>
  <si>
    <t>Blackstone</t>
  </si>
  <si>
    <t>Total Term</t>
  </si>
  <si>
    <t>Total Term (Ex. Sold)</t>
  </si>
  <si>
    <t>Legacy Term</t>
  </si>
  <si>
    <t>Non-Legacy Term</t>
  </si>
  <si>
    <t>Balance Sheet Term</t>
  </si>
  <si>
    <t>CALC</t>
  </si>
  <si>
    <t>Bridge Loan Level Data</t>
  </si>
  <si>
    <t>Portfolio</t>
  </si>
  <si>
    <t>Loan Buyer</t>
  </si>
  <si>
    <t>Financing</t>
  </si>
  <si>
    <t>Deal Number</t>
  </si>
  <si>
    <t>Servicer ID</t>
  </si>
  <si>
    <t>Servicer</t>
  </si>
  <si>
    <t>Deal Name</t>
  </si>
  <si>
    <t>Borrower Name</t>
  </si>
  <si>
    <t xml:space="preserve">Account </t>
  </si>
  <si>
    <t>Do Not Lend (Y/N)</t>
  </si>
  <si>
    <t>Primary Contact</t>
  </si>
  <si>
    <t>Number of Assets</t>
  </si>
  <si>
    <t># of Units</t>
  </si>
  <si>
    <t>State(s)</t>
  </si>
  <si>
    <t>Origination Date</t>
  </si>
  <si>
    <t>Last Funding Date</t>
  </si>
  <si>
    <t>Original Maturity Date</t>
  </si>
  <si>
    <t>Current Maturity Date</t>
  </si>
  <si>
    <t>Next Advance Maturity Date</t>
  </si>
  <si>
    <t>Next Payment Date</t>
  </si>
  <si>
    <t>Days Past Due</t>
  </si>
  <si>
    <t>Loan Level Delinquency</t>
  </si>
  <si>
    <t>Loan Commitment</t>
  </si>
  <si>
    <t>Active Funded Amount</t>
  </si>
  <si>
    <t>Suspense Balance</t>
  </si>
  <si>
    <t>Remaining Commitment</t>
  </si>
  <si>
    <t>Most Recent Valuation Date</t>
  </si>
  <si>
    <t>Most Recent As-Is Value</t>
  </si>
  <si>
    <t>Most Recent ARV</t>
  </si>
  <si>
    <t>Initial Disbursement Funded</t>
  </si>
  <si>
    <t>Renovation Holdback</t>
  </si>
  <si>
    <t>Renovation HB Funded</t>
  </si>
  <si>
    <t>Renovation HB Remaining</t>
  </si>
  <si>
    <t>Interest Allocation</t>
  </si>
  <si>
    <t>Interest Allocation Funded</t>
  </si>
  <si>
    <t>Loan Stage</t>
  </si>
  <si>
    <t>Segment</t>
  </si>
  <si>
    <t>Loan Type</t>
  </si>
  <si>
    <t>Product Type</t>
  </si>
  <si>
    <t>Product Sub Type</t>
  </si>
  <si>
    <t>Transaction Type</t>
  </si>
  <si>
    <t>Project Strategy</t>
  </si>
  <si>
    <t>Strategy Grouping</t>
  </si>
  <si>
    <t>CV Originator</t>
  </si>
  <si>
    <t>Active RM</t>
  </si>
  <si>
    <t>Deal Intro Sub-Source</t>
  </si>
  <si>
    <t>Referral Source Account</t>
  </si>
  <si>
    <t>Referral Source Contact</t>
  </si>
  <si>
    <t>6/30 NPL</t>
  </si>
  <si>
    <t>Needs NPL Value</t>
  </si>
  <si>
    <t>Special Focus (Y/N)</t>
  </si>
  <si>
    <t>Asset Manager 1</t>
  </si>
  <si>
    <t>AM 1 Assigned Date</t>
  </si>
  <si>
    <t>Asset Manager 2</t>
  </si>
  <si>
    <t>AM 2 Assigned Date</t>
  </si>
  <si>
    <t>Construction Mgr.</t>
  </si>
  <si>
    <t>CM Assigned Date</t>
  </si>
  <si>
    <t>AM Commentary</t>
  </si>
  <si>
    <t>Bridge Asset Level Data</t>
  </si>
  <si>
    <t>SF Yardi ID</t>
  </si>
  <si>
    <t>Asset ID</t>
  </si>
  <si>
    <t>Borrower Entity</t>
  </si>
  <si>
    <t>Account Name</t>
  </si>
  <si>
    <t>Address</t>
  </si>
  <si>
    <t>City</t>
  </si>
  <si>
    <t>State</t>
  </si>
  <si>
    <t>Zip</t>
  </si>
  <si>
    <t>County</t>
  </si>
  <si>
    <t>CBSA</t>
  </si>
  <si>
    <t>APN</t>
  </si>
  <si>
    <t>Additional APNs</t>
  </si>
  <si>
    <t>Year Built</t>
  </si>
  <si>
    <t>Square Feet</t>
  </si>
  <si>
    <t>First Funding Date</t>
  </si>
  <si>
    <t>Original Loan Maturity date</t>
  </si>
  <si>
    <t>Current Loan Maturity date</t>
  </si>
  <si>
    <t>Original Asset Maturity date</t>
  </si>
  <si>
    <t>Current Asset Maturity Date</t>
  </si>
  <si>
    <t>Asset Commitment</t>
  </si>
  <si>
    <t>SF Funded Amount</t>
  </si>
  <si>
    <t>6/5 UPB</t>
  </si>
  <si>
    <t>Remedy Plan</t>
  </si>
  <si>
    <t>Delinquency Notes</t>
  </si>
  <si>
    <t>Maturity Status</t>
  </si>
  <si>
    <t>Is Special Asset (Y/N)</t>
  </si>
  <si>
    <t>Special Asset Status</t>
  </si>
  <si>
    <t>Special Asset Reason</t>
  </si>
  <si>
    <t>Special Asset: Special Asset Status</t>
  </si>
  <si>
    <t>Special Asset: Resolved Date</t>
  </si>
  <si>
    <t>Forbearance Term Date</t>
  </si>
  <si>
    <t>FC Sale Date</t>
  </si>
  <si>
    <t>Rescheduled FC Sale Date</t>
  </si>
  <si>
    <t>REO Date</t>
  </si>
  <si>
    <t>Origination Value Dt</t>
  </si>
  <si>
    <t>Origination As-Is Value</t>
  </si>
  <si>
    <t>Origination ARV</t>
  </si>
  <si>
    <t>Most Recent Appraisal Order Date</t>
  </si>
  <si>
    <t>Updated Valuation Date</t>
  </si>
  <si>
    <t>Updated As-Is Value</t>
  </si>
  <si>
    <t>Updated ARV</t>
  </si>
  <si>
    <t>Renovation Holdback Funded</t>
  </si>
  <si>
    <t>Renovation Holdback Remaining</t>
  </si>
  <si>
    <t>Title Company</t>
  </si>
  <si>
    <t>Tax Due Date</t>
  </si>
  <si>
    <t>Tax Frequency</t>
  </si>
  <si>
    <t>Tax Commentary</t>
  </si>
  <si>
    <t>Product Sub-Type</t>
  </si>
  <si>
    <t xml:space="preserve">Transaction Type </t>
  </si>
  <si>
    <t>Property Type</t>
  </si>
  <si>
    <t>Originator</t>
  </si>
  <si>
    <t>Property Status</t>
  </si>
  <si>
    <t>Servicer Status</t>
  </si>
  <si>
    <t>Servicer Maturity Date</t>
  </si>
  <si>
    <t>CV Maturity Date</t>
  </si>
  <si>
    <t>Maturity Difference</t>
  </si>
  <si>
    <t>Maturity Date</t>
  </si>
  <si>
    <t>Days to Maturity</t>
  </si>
  <si>
    <t>DQ Status</t>
  </si>
  <si>
    <t>Securitized (Y/N)</t>
  </si>
  <si>
    <t>SSP JV (Y/N)</t>
  </si>
  <si>
    <t>CPP JV (Y/N)</t>
  </si>
  <si>
    <t>Oaktree JV (Y/N)</t>
  </si>
  <si>
    <t>Legacy (Y/N)</t>
  </si>
  <si>
    <t>Matured Loan (YN)</t>
  </si>
  <si>
    <t>DQ 45+ Loan (Y/N)</t>
  </si>
  <si>
    <t>SA Loan (Y/N)</t>
  </si>
  <si>
    <t>6/30 NPL (Y/N)</t>
  </si>
  <si>
    <t xml:space="preserve">2Q26 Special Loans List </t>
  </si>
  <si>
    <t>Term Loan Level Data</t>
  </si>
  <si>
    <t>Single Family Rental</t>
  </si>
  <si>
    <t>Loan Amount</t>
  </si>
  <si>
    <t>Asset Manager</t>
  </si>
  <si>
    <t>SFR Allocation</t>
  </si>
  <si>
    <t>MF Allocation</t>
  </si>
  <si>
    <t>Term Asset Level Data</t>
  </si>
  <si>
    <t># Units</t>
  </si>
  <si>
    <t>Grouping</t>
  </si>
  <si>
    <t>Origination Value Date</t>
  </si>
  <si>
    <t>Origination Value</t>
  </si>
  <si>
    <t>Origination Value Type</t>
  </si>
  <si>
    <t>Property ALA</t>
  </si>
  <si>
    <t>Updated Value Date</t>
  </si>
  <si>
    <t>Updated Value Type</t>
  </si>
  <si>
    <t>Report Date</t>
  </si>
  <si>
    <t>06/08/2026</t>
  </si>
  <si>
    <t>Account</t>
  </si>
  <si>
    <t>ID</t>
  </si>
  <si>
    <t>Previous Account</t>
  </si>
  <si>
    <t>Original Vendor</t>
  </si>
  <si>
    <t>Lender Account</t>
  </si>
  <si>
    <t>Lender Name</t>
  </si>
  <si>
    <t>Lender Ownership Pct</t>
  </si>
  <si>
    <t>Lender Funding Date</t>
  </si>
  <si>
    <t>Borrower Address</t>
  </si>
  <si>
    <t>Borrower City</t>
  </si>
  <si>
    <t>Borrower State</t>
  </si>
  <si>
    <t>Borrower Zip</t>
  </si>
  <si>
    <t>Home</t>
  </si>
  <si>
    <t>Work</t>
  </si>
  <si>
    <t>Mobile</t>
  </si>
  <si>
    <t>Fax</t>
  </si>
  <si>
    <t>Original Balance</t>
  </si>
  <si>
    <t>Starting Balance</t>
  </si>
  <si>
    <t>Current Balance</t>
  </si>
  <si>
    <t>Note Rate</t>
  </si>
  <si>
    <t>Investor Rate</t>
  </si>
  <si>
    <t>Lien Position</t>
  </si>
  <si>
    <t>Escrow Payment</t>
  </si>
  <si>
    <t>Suspense Pmt.</t>
  </si>
  <si>
    <t>Loan Charges</t>
  </si>
  <si>
    <t>Unpaid Late Charges</t>
  </si>
  <si>
    <t>Unpaid Interest</t>
  </si>
  <si>
    <t>Sr.Loan Amount</t>
  </si>
  <si>
    <t>Unearned Disc.</t>
  </si>
  <si>
    <t>Regular Payment</t>
  </si>
  <si>
    <t>Status</t>
  </si>
  <si>
    <t>Grace Days</t>
  </si>
  <si>
    <t>Minimum Late Charge</t>
  </si>
  <si>
    <t>Late Charge %</t>
  </si>
  <si>
    <t>Paid To Date</t>
  </si>
  <si>
    <t>Boarding  Date</t>
  </si>
  <si>
    <t>Next Due Date</t>
  </si>
  <si>
    <t>Paid Off Date</t>
  </si>
  <si>
    <t>Purchase Date</t>
  </si>
  <si>
    <t>Prop.Address</t>
  </si>
  <si>
    <t>Prop.City</t>
  </si>
  <si>
    <t>Prop.State</t>
  </si>
  <si>
    <t>Prop.Zip</t>
  </si>
  <si>
    <t>Appr.Value</t>
  </si>
  <si>
    <t>Appr.Source</t>
  </si>
  <si>
    <t>Appr.Date</t>
  </si>
  <si>
    <t>LTV</t>
  </si>
  <si>
    <t>Occupancy</t>
  </si>
  <si>
    <t>Prop.Type</t>
  </si>
  <si>
    <t>ACH status</t>
  </si>
  <si>
    <t>Rate Type</t>
  </si>
  <si>
    <t>Deferred Principal Balance</t>
  </si>
  <si>
    <t>Deferred Unpaid Interest</t>
  </si>
  <si>
    <t>Deferred Unpaid Late Charges</t>
  </si>
  <si>
    <t>Deferred Unpaid Loan Charges</t>
  </si>
  <si>
    <t>Primary Purpose</t>
  </si>
  <si>
    <t>Invest Asset Number</t>
  </si>
  <si>
    <t>Days Late</t>
  </si>
  <si>
    <t>Draw Status</t>
  </si>
  <si>
    <t>Draw Close Date</t>
  </si>
  <si>
    <t>Maximum Draw</t>
  </si>
  <si>
    <t>Funded Amount</t>
  </si>
  <si>
    <t>Available Balance</t>
  </si>
  <si>
    <t>Borrower Full Name</t>
  </si>
  <si>
    <t>CoBorrower</t>
  </si>
  <si>
    <t>Restricted Balance</t>
  </si>
  <si>
    <t>Default Interest Rate</t>
  </si>
  <si>
    <t>Closed Date</t>
  </si>
  <si>
    <t>Closed Reason</t>
  </si>
  <si>
    <t>Default Interest Active Status</t>
  </si>
  <si>
    <t>Escrow Balance</t>
  </si>
  <si>
    <t>Reserve Balance</t>
  </si>
  <si>
    <t>Borrower Email</t>
  </si>
  <si>
    <t>Sec Financing</t>
  </si>
  <si>
    <t>Creation Date</t>
  </si>
  <si>
    <t>Originator Loan Number</t>
  </si>
  <si>
    <t>Borrower First Name</t>
  </si>
  <si>
    <t>Borrower Middle Name</t>
  </si>
  <si>
    <t>Borrower Last Name</t>
  </si>
  <si>
    <t>Prepayment Expiration Date</t>
  </si>
  <si>
    <t>Default Int Is Enabled</t>
  </si>
  <si>
    <t>Other Payments</t>
  </si>
  <si>
    <t>FCI</t>
  </si>
  <si>
    <t>04461</t>
  </si>
  <si>
    <t>5ARCHASSET</t>
  </si>
  <si>
    <t>14733</t>
  </si>
  <si>
    <t>Pacific Life Insurance Company (Corevest)</t>
  </si>
  <si>
    <t>100.000%</t>
  </si>
  <si>
    <t>R&amp;M Commercial Real Estate, LLC
Ron Jackson</t>
  </si>
  <si>
    <t>335 Fields Drive</t>
  </si>
  <si>
    <t>Aberdeen</t>
  </si>
  <si>
    <t>NC</t>
  </si>
  <si>
    <t>28315</t>
  </si>
  <si>
    <t>(910)944-7453</t>
  </si>
  <si>
    <t>(317)710-0126</t>
  </si>
  <si>
    <t>(910)691-5907;(910)215-3841</t>
  </si>
  <si>
    <t>6.25000%</t>
  </si>
  <si>
    <t>6.00000%</t>
  </si>
  <si>
    <t>1st</t>
  </si>
  <si>
    <t>Performing</t>
  </si>
  <si>
    <t>10.000%</t>
  </si>
  <si>
    <t>5 Vail Place</t>
  </si>
  <si>
    <t>Pinehurst</t>
  </si>
  <si>
    <t>28374</t>
  </si>
  <si>
    <t>31.130%</t>
  </si>
  <si>
    <t>Vacant</t>
  </si>
  <si>
    <t>Residential Income 1-4</t>
  </si>
  <si>
    <t>Active</t>
  </si>
  <si>
    <t>Fixed Rate</t>
  </si>
  <si>
    <t>Business</t>
  </si>
  <si>
    <t>Business Purpose Loan</t>
  </si>
  <si>
    <t>R&amp;M Commercial Real Estate, LLCRon Jackson</t>
  </si>
  <si>
    <t>qualitybuilt1@hotmail.com</t>
  </si>
  <si>
    <t>SSP Pool</t>
  </si>
  <si>
    <t>Deal No.</t>
  </si>
  <si>
    <t>The Conservancy BTR</t>
  </si>
  <si>
    <t>Moda Yorkville Townhomes</t>
  </si>
  <si>
    <t>JCF Huntsville 2 - 2022 Refinance</t>
  </si>
  <si>
    <t>JCF Lebanon, LLC</t>
  </si>
  <si>
    <t>Florio 3000 Ember MF</t>
  </si>
  <si>
    <t>The Wilcox</t>
  </si>
  <si>
    <t>Antioch (The Clublands)</t>
  </si>
  <si>
    <t>The Morgan</t>
  </si>
  <si>
    <t>Eagles Landing</t>
  </si>
  <si>
    <t>The View ABQ</t>
  </si>
  <si>
    <t>Cottages at Braselton - 2022</t>
  </si>
  <si>
    <t>Second City Rentals LOC 2</t>
  </si>
  <si>
    <t>Prominence BTR 4</t>
  </si>
  <si>
    <t>Boston Woods</t>
  </si>
  <si>
    <t>Urban Communities Detroit Multis - LOC</t>
  </si>
  <si>
    <t>Viking Mill</t>
  </si>
  <si>
    <t>Florio 925 Conley MF</t>
  </si>
  <si>
    <t>Antigua Village CLO</t>
  </si>
  <si>
    <t>Onslow - Town Center Apts</t>
  </si>
  <si>
    <t>Florio 875 Conley MF</t>
  </si>
  <si>
    <t>Legacy Bridge - 9/30</t>
  </si>
  <si>
    <t>Legacy Term - 9/30</t>
  </si>
  <si>
    <t>09302025 RWT Bridge Tape - 10.17.25 v1</t>
  </si>
  <si>
    <t>Q3 Segment</t>
  </si>
  <si>
    <t>AB Asset Management Louisiana CRE Portfolio</t>
  </si>
  <si>
    <t>Wieder BR 1</t>
  </si>
  <si>
    <t>The Village at Kensington</t>
  </si>
  <si>
    <t>Bonner MA II</t>
  </si>
  <si>
    <t>Midwest Portfolio - OH</t>
  </si>
  <si>
    <t>Razjooyan DC 7 (2844 Langston Pl SE)</t>
  </si>
  <si>
    <t>The Jolie</t>
  </si>
  <si>
    <t>John Bailey WV</t>
  </si>
  <si>
    <t>32 India St</t>
  </si>
  <si>
    <t>Equity Build 3</t>
  </si>
  <si>
    <t>Bungalows on Village Way 2023</t>
  </si>
  <si>
    <t>Bonham Capital</t>
  </si>
  <si>
    <t>Sutton Fields</t>
  </si>
  <si>
    <t>Legacy - Partial</t>
  </si>
  <si>
    <t>Cohen 1</t>
  </si>
  <si>
    <t>Yorkminster 2023</t>
  </si>
  <si>
    <t>Vision &amp; Beyond 1</t>
  </si>
  <si>
    <t>London Square &amp; River Glen</t>
  </si>
  <si>
    <t>Vision &amp; Beyond 2</t>
  </si>
  <si>
    <t>Balfour Chamblee</t>
  </si>
  <si>
    <t>Paid Off</t>
  </si>
  <si>
    <t>Falcon Conley CV20 LLC (Florio Conley)</t>
  </si>
  <si>
    <t>JCF Panama Waterfront, LLC</t>
  </si>
  <si>
    <t>McKinley Homes</t>
  </si>
  <si>
    <t>Ark Homes for Rent (Settlers Preserve) LOC</t>
  </si>
  <si>
    <t>Mittelman Portfolio Baton Rouge</t>
  </si>
  <si>
    <t>TCY Capital Baton Rouge</t>
  </si>
  <si>
    <t>Polaris at East Point</t>
  </si>
  <si>
    <t>JCF Panama Clara, LLC</t>
  </si>
  <si>
    <t>Florio Mayson Turner MF</t>
  </si>
  <si>
    <t>Eden Hill Development Refi Renewal</t>
  </si>
  <si>
    <t>River View at Bexley</t>
  </si>
  <si>
    <t>707 West Commerce</t>
  </si>
  <si>
    <t>Sandrock Gardens</t>
  </si>
  <si>
    <t>Florio 204-210 Graham MF</t>
  </si>
  <si>
    <t>Florio 362-366 Hamilton MF</t>
  </si>
  <si>
    <t>Prominence BTR 3</t>
  </si>
  <si>
    <t>Florio 94-96 16th MF</t>
  </si>
  <si>
    <t>Florio 198-200 Harrison MF</t>
  </si>
  <si>
    <t>Wan Bridge LOC 2025 II</t>
  </si>
  <si>
    <t>Midwest Portfolio - IN</t>
  </si>
  <si>
    <t>5A-11833</t>
  </si>
  <si>
    <t>CAPITAL HOMES INVESTMENTS LLC</t>
  </si>
  <si>
    <t>Stanley Wellington Bridge</t>
  </si>
  <si>
    <t>Florio 8-10 Godwin MF</t>
  </si>
  <si>
    <t>Cornerstone Apartments Louisville</t>
  </si>
  <si>
    <t>2214-003504</t>
  </si>
  <si>
    <t>3651 Alta Mesa Drive</t>
  </si>
  <si>
    <t>Florio 212-214 12th Ave MF</t>
  </si>
  <si>
    <t>4646 Moncrief</t>
  </si>
  <si>
    <t>Florio 21 Godwin MF</t>
  </si>
  <si>
    <t xml:space="preserve">ALJ Investmentss, Inc. </t>
  </si>
  <si>
    <t>Florio 41 Godwin MF</t>
  </si>
  <si>
    <t>Indigo 52, LLC</t>
  </si>
  <si>
    <t>SAP RE HOLDINGS LLC</t>
  </si>
  <si>
    <t>Tides Group I</t>
  </si>
  <si>
    <t>ALJ Portfolio II LLC</t>
  </si>
  <si>
    <t>2340-003726</t>
  </si>
  <si>
    <t>2340-003726 - 27 Virginia Ave, 29 Virginia Ave &amp; 31 Virginia Ave</t>
  </si>
  <si>
    <t>8200 S Paulina Investment LLC</t>
  </si>
  <si>
    <t>8100 S Paulina Investment LLC</t>
  </si>
  <si>
    <t>7157 S YALE LLC</t>
  </si>
  <si>
    <t>7200 S Vincennes Investment LLC</t>
  </si>
  <si>
    <t>Sherry Li LOC 5</t>
  </si>
  <si>
    <t>LEXINGTON EQUITIES LLC, a Delaware limited liability company</t>
  </si>
  <si>
    <t>2071-003145</t>
  </si>
  <si>
    <t>97 Appletree Dr</t>
  </si>
  <si>
    <t>Smartland Aggregation LOC</t>
  </si>
  <si>
    <t>Project Strategy Groupings</t>
  </si>
  <si>
    <t>Special Asset Officers</t>
  </si>
  <si>
    <t>Strategy</t>
  </si>
  <si>
    <t>Y</t>
  </si>
  <si>
    <t>Renovate and Rent</t>
  </si>
  <si>
    <t>Natasha Sango</t>
  </si>
  <si>
    <t>Nerissa Pryba</t>
  </si>
  <si>
    <t>Portfolio Acquisition</t>
  </si>
  <si>
    <t>John Sullivan</t>
  </si>
  <si>
    <t>Refinance (SFR / MFR)</t>
  </si>
  <si>
    <t>Chris Sullivan</t>
  </si>
  <si>
    <t>Aggregation</t>
  </si>
  <si>
    <t>Jim Casey</t>
  </si>
  <si>
    <t>Multifamily Light Lift</t>
  </si>
  <si>
    <t>Jon Popovich</t>
  </si>
  <si>
    <t>Multifamily Light Lift/CLO</t>
  </si>
  <si>
    <t>John Parsinen</t>
  </si>
  <si>
    <t>Multifamily Lease-Up/No Rehab</t>
  </si>
  <si>
    <t>Matt Kim</t>
  </si>
  <si>
    <t>Multifamily Lease-Up/No Rehab/CLO</t>
  </si>
  <si>
    <t>John Oakes</t>
  </si>
  <si>
    <t>Multifamily Heavy Lift</t>
  </si>
  <si>
    <t>Cole Smith</t>
  </si>
  <si>
    <t>Multifamily Heavy Lift/CLO</t>
  </si>
  <si>
    <t>Conversion to Multifamily</t>
  </si>
  <si>
    <t>Multifamily GUC</t>
  </si>
  <si>
    <t>Ground Up Construction</t>
  </si>
  <si>
    <t>Townhome GUC</t>
  </si>
  <si>
    <t>Fix and Flip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</si>
</sst>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%"/>
    <numFmt numFmtId="165" formatCode="\$#,##0.00"/>
    <numFmt numFmtId="166" formatCode="0.0000%"/>
    <numFmt numFmtId="167" formatCode="#,###;[Red]\(#,###\);&quot;-&quot;"/>
    <numFmt numFmtId="168" formatCode="#,###.00;[Red]\(#,###.00\);&quot;-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0" xfId="0" applyFont="1" applyFill="1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7" fontId="2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7" xfId="0" applyNumberFormat="1" applyBorder="1" applyAlignment="1">
      <alignment horizontal="center" vertical="center"/>
    </xf>
    <xf numFmtId="10" fontId="0" fillId="0" borderId="8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67" fontId="2" fillId="0" borderId="3" xfId="0" applyNumberFormat="1" applyFont="1" applyBorder="1" applyAlignment="1">
      <alignment horizontal="center" vertical="center"/>
    </xf>
    <xf numFmtId="167" fontId="2" fillId="0" borderId="9" xfId="0" applyNumberFormat="1" applyFont="1" applyBorder="1" applyAlignment="1">
      <alignment horizontal="center" vertical="center"/>
    </xf>
    <xf numFmtId="167" fontId="2" fillId="0" borderId="8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10" fontId="0" fillId="5" borderId="10" xfId="0" applyNumberFormat="1" applyFill="1" applyBorder="1" applyAlignment="1">
      <alignment horizontal="center" vertical="center"/>
    </xf>
    <xf numFmtId="10" fontId="0" fillId="3" borderId="10" xfId="0" applyNumberFormat="1" applyFill="1" applyBorder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14" fontId="0" fillId="0" borderId="0" xfId="0" applyNumberFormat="1" applyAlignment="1">
      <alignment horizontal="left"/>
    </xf>
    <xf numFmtId="168" fontId="2" fillId="0" borderId="0" xfId="0" applyNumberFormat="1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2"/>
    </xf>
    <xf numFmtId="0" fontId="2" fillId="0" borderId="0" xfId="0" applyFont="1" applyAlignment="1">
      <alignment horizontal="left" vertical="center" indent="2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167" fontId="2" fillId="0" borderId="6" xfId="0" applyNumberFormat="1" applyFont="1" applyBorder="1" applyAlignment="1">
      <alignment horizontal="center" vertical="center"/>
    </xf>
    <xf numFmtId="167" fontId="2" fillId="0" borderId="5" xfId="0" applyNumberFormat="1" applyFont="1" applyBorder="1" applyAlignment="1">
      <alignment horizontal="center" vertical="center"/>
    </xf>
    <xf numFmtId="167" fontId="2" fillId="0" borderId="7" xfId="0" applyNumberFormat="1" applyFont="1" applyBorder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167" fontId="2" fillId="7" borderId="10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167" fontId="2" fillId="0" borderId="2" xfId="0" applyNumberFormat="1" applyFon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B2:Q49"/>
  <sheetViews>
    <sheetView showGridLines="0" zoomScale="85" zoomScaleNormal="85" workbookViewId="0"/>
  </sheetViews>
  <sheetFormatPr defaultRowHeight="14.5" outlineLevelRow="1" x14ac:dyDescent="0.35"/>
  <cols>
    <col min="2" max="2" width="29.453125" customWidth="1"/>
    <col min="3" max="12" width="17.26953125" customWidth="1"/>
    <col min="14" max="17" width="11.7265625" customWidth="1"/>
  </cols>
  <sheetData>
    <row r="2" spans="2:17" ht="23.5" customHeight="1" x14ac:dyDescent="0.55000000000000004">
      <c r="B2" s="58" t="s">
        <v>0</v>
      </c>
    </row>
    <row r="4" spans="2:17" x14ac:dyDescent="0.35">
      <c r="B4" s="38" t="s">
        <v>1</v>
      </c>
    </row>
    <row r="5" spans="2:17" ht="22.5" customHeight="1" thickBot="1" x14ac:dyDescent="0.4">
      <c r="B5" s="41"/>
      <c r="C5" s="41" t="s">
        <v>2</v>
      </c>
      <c r="D5" s="41" t="s">
        <v>3</v>
      </c>
      <c r="E5" s="41" t="s">
        <v>4</v>
      </c>
      <c r="F5" s="41" t="s">
        <v>5</v>
      </c>
      <c r="G5" s="41" t="s">
        <v>6</v>
      </c>
      <c r="H5" s="41" t="s">
        <v>7</v>
      </c>
      <c r="I5" s="49" t="s">
        <v>8</v>
      </c>
      <c r="J5" s="41" t="s">
        <v>9</v>
      </c>
      <c r="K5" s="42" t="s">
        <v>10</v>
      </c>
      <c r="L5" s="41" t="s">
        <v>11</v>
      </c>
      <c r="N5" s="41" t="s">
        <v>12</v>
      </c>
      <c r="O5" s="41" t="s">
        <v>13</v>
      </c>
      <c r="P5" s="41" t="s">
        <v>14</v>
      </c>
      <c r="Q5" s="41" t="s">
        <v>15</v>
      </c>
    </row>
    <row r="6" spans="2:17" ht="15" customHeight="1" thickBot="1" x14ac:dyDescent="0.4">
      <c r="B6" s="38" t="s">
        <v>16</v>
      </c>
      <c r="C6" s="37">
        <f>COUNTIFS('Bridge Loan'!$AM:$AM,'Bridge Summary'!$B6)</f>
        <v>0</v>
      </c>
      <c r="D6" s="37">
        <f>COUNTIFS('Bridge Asset'!$BU:$BU,'Bridge Summary'!$B6)</f>
        <v>0</v>
      </c>
      <c r="E6" s="37">
        <f>SUMIFS('Bridge Asset'!$AJ:$AJ,'Bridge Asset'!$BU:$BU,'Bridge Summary'!$B6,'Bridge Asset'!$CR:$CR,'Bridge Summary'!E$5)</f>
        <v>0</v>
      </c>
      <c r="F6" s="37">
        <f>SUMIFS('Bridge Asset'!$AJ:$AJ,'Bridge Asset'!$BU:$BU,'Bridge Summary'!$B6,'Bridge Asset'!$CR:$CR,'Bridge Summary'!F$5)</f>
        <v>0</v>
      </c>
      <c r="G6" s="37">
        <f>SUMIFS('Bridge Asset'!$AJ:$AJ,'Bridge Asset'!$BU:$BU,'Bridge Summary'!$B6,'Bridge Asset'!$CR:$CR,'Bridge Summary'!G$5)</f>
        <v>0</v>
      </c>
      <c r="H6" s="37">
        <f>SUMIFS('Bridge Asset'!$AJ:$AJ,'Bridge Asset'!$BU:$BU,'Bridge Summary'!$B6,'Bridge Asset'!$CR:$CR,'Bridge Summary'!H$5)</f>
        <v>0</v>
      </c>
      <c r="I6" s="50">
        <f>SUMIFS('Bridge Asset'!$AJ:$AJ,'Bridge Asset'!$BU:$BU,'Bridge Summary'!$B6,'Bridge Asset'!$CR:$CR,'Bridge Summary'!I$5)</f>
        <v>0</v>
      </c>
      <c r="J6" s="37">
        <f>SUMIFS('Bridge Asset'!$AJ:$AJ,'Bridge Asset'!$BU:$BU,'Bridge Summary'!$B6,'Bridge Asset'!$CR:$CR,'Bridge Summary'!J$5)</f>
        <v>0</v>
      </c>
      <c r="K6" s="43">
        <f t="shared" ref="K6:K19" si="0">SUM($E6:$J6)</f>
        <v>0</v>
      </c>
      <c r="L6" s="37">
        <f t="shared" ref="L6:L19" si="1">+$K6-$J6</f>
        <v>0</v>
      </c>
      <c r="N6" s="12" t="str">
        <f t="shared" ref="N6:N21" si="2">IFERROR(SUM($G6:$I6)/$L6,"N/A")</f>
        <v>N/A</v>
      </c>
      <c r="O6" s="12" t="str">
        <f t="shared" ref="O6:O21" si="3">IFERROR(SUM($H6:$I6)/$L6,"N/A")</f>
        <v>N/A</v>
      </c>
      <c r="P6" s="12" t="str">
        <f t="shared" ref="P6:P21" si="4">IFERROR($I6/$L6,"N/A")</f>
        <v>N/A</v>
      </c>
      <c r="Q6" s="12" t="str">
        <f t="shared" ref="Q6:Q21" si="5">IFERROR($J6/$K6,"N/A")</f>
        <v>N/A</v>
      </c>
    </row>
    <row r="7" spans="2:17" ht="15" customHeight="1" thickBot="1" x14ac:dyDescent="0.4">
      <c r="B7" s="38" t="s">
        <v>17</v>
      </c>
      <c r="C7" s="37">
        <f t="shared" ref="C7:J7" si="6">SUM(C$8:C$14)</f>
        <v>0</v>
      </c>
      <c r="D7" s="37">
        <f t="shared" si="6"/>
        <v>0</v>
      </c>
      <c r="E7" s="37">
        <f t="shared" si="6"/>
        <v>0</v>
      </c>
      <c r="F7" s="37">
        <f t="shared" si="6"/>
        <v>0</v>
      </c>
      <c r="G7" s="37">
        <f t="shared" si="6"/>
        <v>0</v>
      </c>
      <c r="H7" s="37">
        <f t="shared" si="6"/>
        <v>0</v>
      </c>
      <c r="I7" s="37">
        <f t="shared" si="6"/>
        <v>0</v>
      </c>
      <c r="J7" s="37">
        <f t="shared" si="6"/>
        <v>0</v>
      </c>
      <c r="K7" s="43">
        <f t="shared" si="0"/>
        <v>0</v>
      </c>
      <c r="L7" s="37">
        <f t="shared" si="1"/>
        <v>0</v>
      </c>
      <c r="N7" s="12" t="str">
        <f t="shared" si="2"/>
        <v>N/A</v>
      </c>
      <c r="O7" s="12" t="str">
        <f t="shared" si="3"/>
        <v>N/A</v>
      </c>
      <c r="P7" s="23" t="str">
        <f t="shared" si="4"/>
        <v>N/A</v>
      </c>
      <c r="Q7" s="12" t="str">
        <f t="shared" si="5"/>
        <v>N/A</v>
      </c>
    </row>
    <row r="8" spans="2:17" ht="15" customHeight="1" outlineLevel="1" x14ac:dyDescent="0.35">
      <c r="B8" s="40" t="s">
        <v>18</v>
      </c>
      <c r="C8" s="26">
        <f>COUNTIFS('Bridge Loan'!$AM:$AM,'Bridge Summary'!$B$7,'Bridge Loan'!$D:$D,'Bridge Summary'!$B8)</f>
        <v>0</v>
      </c>
      <c r="D8" s="26">
        <f>COUNTIFS('Bridge Asset'!$BU:$BU,'Bridge Summary'!$B$7,'Bridge Asset'!$D:$D,'Bridge Summary'!$B8)</f>
        <v>0</v>
      </c>
      <c r="E8" s="26">
        <f>SUMIFS('Bridge Asset'!$AJ:$AJ,'Bridge Asset'!$BU:$BU,'Bridge Summary'!$B$7,'Bridge Asset'!$D:$D,'Bridge Summary'!$B8,'Bridge Asset'!$CR:$CR,'Bridge Summary'!E$5)</f>
        <v>0</v>
      </c>
      <c r="F8" s="26">
        <f>SUMIFS('Bridge Asset'!$AJ:$AJ,'Bridge Asset'!$BU:$BU,'Bridge Summary'!$B$7,'Bridge Asset'!$D:$D,'Bridge Summary'!$B8,'Bridge Asset'!$CR:$CR,'Bridge Summary'!F$5)</f>
        <v>0</v>
      </c>
      <c r="G8" s="26">
        <f>SUMIFS('Bridge Asset'!$AJ:$AJ,'Bridge Asset'!$BU:$BU,'Bridge Summary'!$B$7,'Bridge Asset'!$D:$D,'Bridge Summary'!$B8,'Bridge Asset'!$CR:$CR,'Bridge Summary'!G$5)</f>
        <v>0</v>
      </c>
      <c r="H8" s="26">
        <f>SUMIFS('Bridge Asset'!$AJ:$AJ,'Bridge Asset'!$BU:$BU,'Bridge Summary'!$B$7,'Bridge Asset'!$D:$D,'Bridge Summary'!$B8,'Bridge Asset'!$CR:$CR,'Bridge Summary'!H$5)</f>
        <v>0</v>
      </c>
      <c r="I8" s="26">
        <f>SUMIFS('Bridge Asset'!$AJ:$AJ,'Bridge Asset'!$BU:$BU,'Bridge Summary'!$B$7,'Bridge Asset'!$D:$D,'Bridge Summary'!$B8,'Bridge Asset'!$CR:$CR,'Bridge Summary'!I$5)</f>
        <v>0</v>
      </c>
      <c r="J8" s="26">
        <f>SUMIFS('Bridge Asset'!$AJ:$AJ,'Bridge Asset'!$BU:$BU,'Bridge Summary'!$B$7,'Bridge Asset'!$D:$D,'Bridge Summary'!$B8,'Bridge Asset'!$CR:$CR,'Bridge Summary'!J$5)</f>
        <v>0</v>
      </c>
      <c r="K8" s="44">
        <f t="shared" si="0"/>
        <v>0</v>
      </c>
      <c r="L8" s="26">
        <f t="shared" si="1"/>
        <v>0</v>
      </c>
      <c r="N8" s="12" t="str">
        <f t="shared" si="2"/>
        <v>N/A</v>
      </c>
      <c r="O8" s="12" t="str">
        <f t="shared" si="3"/>
        <v>N/A</v>
      </c>
      <c r="P8" s="12" t="str">
        <f t="shared" si="4"/>
        <v>N/A</v>
      </c>
      <c r="Q8" s="12" t="str">
        <f t="shared" si="5"/>
        <v>N/A</v>
      </c>
    </row>
    <row r="9" spans="2:17" ht="15" customHeight="1" outlineLevel="1" x14ac:dyDescent="0.35">
      <c r="B9" s="40" t="s">
        <v>19</v>
      </c>
      <c r="C9" s="26">
        <f>COUNTIFS('Bridge Loan'!$AM:$AM,'Bridge Summary'!$B$7,'Bridge Loan'!$D:$D,'Bridge Summary'!$B9)</f>
        <v>0</v>
      </c>
      <c r="D9" s="26">
        <f>COUNTIFS('Bridge Asset'!$BU:$BU,'Bridge Summary'!$B$7,'Bridge Asset'!$D:$D,'Bridge Summary'!$B9)</f>
        <v>0</v>
      </c>
      <c r="E9" s="26">
        <f>SUMIFS('Bridge Asset'!$AJ:$AJ,'Bridge Asset'!$BU:$BU,'Bridge Summary'!$B$7,'Bridge Asset'!$D:$D,'Bridge Summary'!$B9,'Bridge Asset'!$CR:$CR,'Bridge Summary'!E$5)</f>
        <v>0</v>
      </c>
      <c r="F9" s="26">
        <f>SUMIFS('Bridge Asset'!$AJ:$AJ,'Bridge Asset'!$BU:$BU,'Bridge Summary'!$B$7,'Bridge Asset'!$D:$D,'Bridge Summary'!$B9,'Bridge Asset'!$CR:$CR,'Bridge Summary'!F$5)</f>
        <v>0</v>
      </c>
      <c r="G9" s="26">
        <f>SUMIFS('Bridge Asset'!$AJ:$AJ,'Bridge Asset'!$BU:$BU,'Bridge Summary'!$B$7,'Bridge Asset'!$D:$D,'Bridge Summary'!$B9,'Bridge Asset'!$CR:$CR,'Bridge Summary'!G$5)</f>
        <v>0</v>
      </c>
      <c r="H9" s="26">
        <f>SUMIFS('Bridge Asset'!$AJ:$AJ,'Bridge Asset'!$BU:$BU,'Bridge Summary'!$B$7,'Bridge Asset'!$D:$D,'Bridge Summary'!$B9,'Bridge Asset'!$CR:$CR,'Bridge Summary'!H$5)</f>
        <v>0</v>
      </c>
      <c r="I9" s="26">
        <f>SUMIFS('Bridge Asset'!$AJ:$AJ,'Bridge Asset'!$BU:$BU,'Bridge Summary'!$B$7,'Bridge Asset'!$D:$D,'Bridge Summary'!$B9,'Bridge Asset'!$CR:$CR,'Bridge Summary'!I$5)</f>
        <v>0</v>
      </c>
      <c r="J9" s="26">
        <f>SUMIFS('Bridge Asset'!$AJ:$AJ,'Bridge Asset'!$BU:$BU,'Bridge Summary'!$B$7,'Bridge Asset'!$D:$D,'Bridge Summary'!$B9,'Bridge Asset'!$CR:$CR,'Bridge Summary'!J$5)</f>
        <v>0</v>
      </c>
      <c r="K9" s="44">
        <f t="shared" si="0"/>
        <v>0</v>
      </c>
      <c r="L9" s="26">
        <f t="shared" si="1"/>
        <v>0</v>
      </c>
      <c r="N9" s="12" t="str">
        <f t="shared" si="2"/>
        <v>N/A</v>
      </c>
      <c r="O9" s="12" t="str">
        <f t="shared" si="3"/>
        <v>N/A</v>
      </c>
      <c r="P9" s="12" t="str">
        <f t="shared" si="4"/>
        <v>N/A</v>
      </c>
      <c r="Q9" s="12" t="str">
        <f t="shared" si="5"/>
        <v>N/A</v>
      </c>
    </row>
    <row r="10" spans="2:17" ht="15" customHeight="1" outlineLevel="1" x14ac:dyDescent="0.35">
      <c r="B10" s="40" t="s">
        <v>20</v>
      </c>
      <c r="C10" s="26">
        <f>COUNTIFS('Bridge Loan'!$AM:$AM,'Bridge Summary'!$B$7,'Bridge Loan'!$D:$D,'Bridge Summary'!$B10)</f>
        <v>0</v>
      </c>
      <c r="D10" s="26">
        <f>COUNTIFS('Bridge Asset'!$BU:$BU,'Bridge Summary'!$B$7,'Bridge Asset'!$D:$D,'Bridge Summary'!$B10)</f>
        <v>0</v>
      </c>
      <c r="E10" s="26">
        <f>SUMIFS('Bridge Asset'!$AJ:$AJ,'Bridge Asset'!$BU:$BU,'Bridge Summary'!$B$7,'Bridge Asset'!$D:$D,'Bridge Summary'!$B10,'Bridge Asset'!$CR:$CR,'Bridge Summary'!E$5)</f>
        <v>0</v>
      </c>
      <c r="F10" s="26">
        <f>SUMIFS('Bridge Asset'!$AJ:$AJ,'Bridge Asset'!$BU:$BU,'Bridge Summary'!$B$7,'Bridge Asset'!$D:$D,'Bridge Summary'!$B10,'Bridge Asset'!$CR:$CR,'Bridge Summary'!F$5)</f>
        <v>0</v>
      </c>
      <c r="G10" s="26">
        <f>SUMIFS('Bridge Asset'!$AJ:$AJ,'Bridge Asset'!$BU:$BU,'Bridge Summary'!$B$7,'Bridge Asset'!$D:$D,'Bridge Summary'!$B10,'Bridge Asset'!$CR:$CR,'Bridge Summary'!G$5)</f>
        <v>0</v>
      </c>
      <c r="H10" s="26">
        <f>SUMIFS('Bridge Asset'!$AJ:$AJ,'Bridge Asset'!$BU:$BU,'Bridge Summary'!$B$7,'Bridge Asset'!$D:$D,'Bridge Summary'!$B10,'Bridge Asset'!$CR:$CR,'Bridge Summary'!H$5)</f>
        <v>0</v>
      </c>
      <c r="I10" s="26">
        <f>SUMIFS('Bridge Asset'!$AJ:$AJ,'Bridge Asset'!$BU:$BU,'Bridge Summary'!$B$7,'Bridge Asset'!$D:$D,'Bridge Summary'!$B10,'Bridge Asset'!$CR:$CR,'Bridge Summary'!I$5)</f>
        <v>0</v>
      </c>
      <c r="J10" s="26">
        <f>SUMIFS('Bridge Asset'!$AJ:$AJ,'Bridge Asset'!$BU:$BU,'Bridge Summary'!$B$7,'Bridge Asset'!$D:$D,'Bridge Summary'!$B10,'Bridge Asset'!$CR:$CR,'Bridge Summary'!J$5)</f>
        <v>0</v>
      </c>
      <c r="K10" s="44">
        <f t="shared" si="0"/>
        <v>0</v>
      </c>
      <c r="L10" s="26">
        <f t="shared" si="1"/>
        <v>0</v>
      </c>
      <c r="N10" s="12" t="str">
        <f t="shared" si="2"/>
        <v>N/A</v>
      </c>
      <c r="O10" s="12" t="str">
        <f t="shared" si="3"/>
        <v>N/A</v>
      </c>
      <c r="P10" s="12" t="str">
        <f t="shared" si="4"/>
        <v>N/A</v>
      </c>
      <c r="Q10" s="12" t="str">
        <f t="shared" si="5"/>
        <v>N/A</v>
      </c>
    </row>
    <row r="11" spans="2:17" ht="15" customHeight="1" outlineLevel="1" x14ac:dyDescent="0.35">
      <c r="B11" s="40" t="s">
        <v>21</v>
      </c>
      <c r="C11" s="26">
        <f>COUNTIFS('Bridge Loan'!$AM:$AM,'Bridge Summary'!$B$7,'Bridge Loan'!$D:$D,'Bridge Summary'!$B11)</f>
        <v>0</v>
      </c>
      <c r="D11" s="26">
        <f>COUNTIFS('Bridge Asset'!$BU:$BU,'Bridge Summary'!$B$7,'Bridge Asset'!$D:$D,'Bridge Summary'!$B11)</f>
        <v>0</v>
      </c>
      <c r="E11" s="26">
        <f>SUMIFS('Bridge Asset'!$AJ:$AJ,'Bridge Asset'!$BU:$BU,'Bridge Summary'!$B$7,'Bridge Asset'!$D:$D,'Bridge Summary'!$B11,'Bridge Asset'!$CR:$CR,'Bridge Summary'!E$5)</f>
        <v>0</v>
      </c>
      <c r="F11" s="26">
        <f>SUMIFS('Bridge Asset'!$AJ:$AJ,'Bridge Asset'!$BU:$BU,'Bridge Summary'!$B$7,'Bridge Asset'!$D:$D,'Bridge Summary'!$B11,'Bridge Asset'!$CR:$CR,'Bridge Summary'!F$5)</f>
        <v>0</v>
      </c>
      <c r="G11" s="26">
        <f>SUMIFS('Bridge Asset'!$AJ:$AJ,'Bridge Asset'!$BU:$BU,'Bridge Summary'!$B$7,'Bridge Asset'!$D:$D,'Bridge Summary'!$B11,'Bridge Asset'!$CR:$CR,'Bridge Summary'!G$5)</f>
        <v>0</v>
      </c>
      <c r="H11" s="26">
        <f>SUMIFS('Bridge Asset'!$AJ:$AJ,'Bridge Asset'!$BU:$BU,'Bridge Summary'!$B$7,'Bridge Asset'!$D:$D,'Bridge Summary'!$B11,'Bridge Asset'!$CR:$CR,'Bridge Summary'!H$5)</f>
        <v>0</v>
      </c>
      <c r="I11" s="26">
        <f>SUMIFS('Bridge Asset'!$AJ:$AJ,'Bridge Asset'!$BU:$BU,'Bridge Summary'!$B$7,'Bridge Asset'!$D:$D,'Bridge Summary'!$B11,'Bridge Asset'!$CR:$CR,'Bridge Summary'!I$5)</f>
        <v>0</v>
      </c>
      <c r="J11" s="26">
        <f>SUMIFS('Bridge Asset'!$AJ:$AJ,'Bridge Asset'!$BU:$BU,'Bridge Summary'!$B$7,'Bridge Asset'!$D:$D,'Bridge Summary'!$B11,'Bridge Asset'!$CR:$CR,'Bridge Summary'!J$5)</f>
        <v>0</v>
      </c>
      <c r="K11" s="44">
        <f t="shared" si="0"/>
        <v>0</v>
      </c>
      <c r="L11" s="26">
        <f t="shared" si="1"/>
        <v>0</v>
      </c>
      <c r="N11" s="12" t="str">
        <f t="shared" si="2"/>
        <v>N/A</v>
      </c>
      <c r="O11" s="12" t="str">
        <f t="shared" si="3"/>
        <v>N/A</v>
      </c>
      <c r="P11" s="12" t="str">
        <f t="shared" si="4"/>
        <v>N/A</v>
      </c>
      <c r="Q11" s="12" t="str">
        <f t="shared" si="5"/>
        <v>N/A</v>
      </c>
    </row>
    <row r="12" spans="2:17" ht="15" customHeight="1" outlineLevel="1" x14ac:dyDescent="0.35">
      <c r="B12" s="40" t="s">
        <v>22</v>
      </c>
      <c r="C12" s="26">
        <f>COUNTIFS('Bridge Loan'!$AM:$AM,'Bridge Summary'!$B$7,'Bridge Loan'!$D:$D,'Bridge Summary'!$B12)</f>
        <v>0</v>
      </c>
      <c r="D12" s="26">
        <f>COUNTIFS('Bridge Asset'!$BU:$BU,'Bridge Summary'!$B$7,'Bridge Asset'!$D:$D,'Bridge Summary'!$B12)</f>
        <v>0</v>
      </c>
      <c r="E12" s="26">
        <f>SUMIFS('Bridge Asset'!$AJ:$AJ,'Bridge Asset'!$BU:$BU,'Bridge Summary'!$B$7,'Bridge Asset'!$D:$D,'Bridge Summary'!$B12,'Bridge Asset'!$CR:$CR,'Bridge Summary'!E$5)</f>
        <v>0</v>
      </c>
      <c r="F12" s="26">
        <f>SUMIFS('Bridge Asset'!$AJ:$AJ,'Bridge Asset'!$BU:$BU,'Bridge Summary'!$B$7,'Bridge Asset'!$D:$D,'Bridge Summary'!$B12,'Bridge Asset'!$CR:$CR,'Bridge Summary'!F$5)</f>
        <v>0</v>
      </c>
      <c r="G12" s="26">
        <f>SUMIFS('Bridge Asset'!$AJ:$AJ,'Bridge Asset'!$BU:$BU,'Bridge Summary'!$B$7,'Bridge Asset'!$D:$D,'Bridge Summary'!$B12,'Bridge Asset'!$CR:$CR,'Bridge Summary'!G$5)</f>
        <v>0</v>
      </c>
      <c r="H12" s="26">
        <f>SUMIFS('Bridge Asset'!$AJ:$AJ,'Bridge Asset'!$BU:$BU,'Bridge Summary'!$B$7,'Bridge Asset'!$D:$D,'Bridge Summary'!$B12,'Bridge Asset'!$CR:$CR,'Bridge Summary'!H$5)</f>
        <v>0</v>
      </c>
      <c r="I12" s="26">
        <f>SUMIFS('Bridge Asset'!$AJ:$AJ,'Bridge Asset'!$BU:$BU,'Bridge Summary'!$B$7,'Bridge Asset'!$D:$D,'Bridge Summary'!$B12,'Bridge Asset'!$CR:$CR,'Bridge Summary'!I$5)</f>
        <v>0</v>
      </c>
      <c r="J12" s="26">
        <f>SUMIFS('Bridge Asset'!$AJ:$AJ,'Bridge Asset'!$BU:$BU,'Bridge Summary'!$B$7,'Bridge Asset'!$D:$D,'Bridge Summary'!$B12,'Bridge Asset'!$CR:$CR,'Bridge Summary'!J$5)</f>
        <v>0</v>
      </c>
      <c r="K12" s="44">
        <f t="shared" si="0"/>
        <v>0</v>
      </c>
      <c r="L12" s="26">
        <f t="shared" si="1"/>
        <v>0</v>
      </c>
      <c r="N12" s="12" t="str">
        <f t="shared" si="2"/>
        <v>N/A</v>
      </c>
      <c r="O12" s="12" t="str">
        <f t="shared" si="3"/>
        <v>N/A</v>
      </c>
      <c r="P12" s="12" t="str">
        <f t="shared" si="4"/>
        <v>N/A</v>
      </c>
      <c r="Q12" s="12" t="str">
        <f t="shared" si="5"/>
        <v>N/A</v>
      </c>
    </row>
    <row r="13" spans="2:17" ht="15" customHeight="1" outlineLevel="1" x14ac:dyDescent="0.35">
      <c r="B13" s="40" t="s">
        <v>23</v>
      </c>
      <c r="C13" s="26">
        <f>COUNTIFS('Bridge Loan'!$AM:$AM,'Bridge Summary'!$B$7,'Bridge Loan'!$D:$D,'Bridge Summary'!$B13)</f>
        <v>0</v>
      </c>
      <c r="D13" s="26">
        <f>COUNTIFS('Bridge Asset'!$BU:$BU,'Bridge Summary'!$B$7,'Bridge Asset'!$D:$D,'Bridge Summary'!$B13)</f>
        <v>0</v>
      </c>
      <c r="E13" s="26">
        <f>SUMIFS('Bridge Asset'!$AJ:$AJ,'Bridge Asset'!$BU:$BU,'Bridge Summary'!$B$7,'Bridge Asset'!$D:$D,'Bridge Summary'!$B13,'Bridge Asset'!$CR:$CR,'Bridge Summary'!E$5)</f>
        <v>0</v>
      </c>
      <c r="F13" s="26">
        <f>SUMIFS('Bridge Asset'!$AJ:$AJ,'Bridge Asset'!$BU:$BU,'Bridge Summary'!$B$7,'Bridge Asset'!$D:$D,'Bridge Summary'!$B13,'Bridge Asset'!$CR:$CR,'Bridge Summary'!F$5)</f>
        <v>0</v>
      </c>
      <c r="G13" s="26">
        <f>SUMIFS('Bridge Asset'!$AJ:$AJ,'Bridge Asset'!$BU:$BU,'Bridge Summary'!$B$7,'Bridge Asset'!$D:$D,'Bridge Summary'!$B13,'Bridge Asset'!$CR:$CR,'Bridge Summary'!G$5)</f>
        <v>0</v>
      </c>
      <c r="H13" s="26">
        <f>SUMIFS('Bridge Asset'!$AJ:$AJ,'Bridge Asset'!$BU:$BU,'Bridge Summary'!$B$7,'Bridge Asset'!$D:$D,'Bridge Summary'!$B13,'Bridge Asset'!$CR:$CR,'Bridge Summary'!H$5)</f>
        <v>0</v>
      </c>
      <c r="I13" s="26">
        <f>SUMIFS('Bridge Asset'!$AJ:$AJ,'Bridge Asset'!$BU:$BU,'Bridge Summary'!$B$7,'Bridge Asset'!$D:$D,'Bridge Summary'!$B13,'Bridge Asset'!$CR:$CR,'Bridge Summary'!I$5)</f>
        <v>0</v>
      </c>
      <c r="J13" s="26">
        <f>SUMIFS('Bridge Asset'!$AJ:$AJ,'Bridge Asset'!$BU:$BU,'Bridge Summary'!$B$7,'Bridge Asset'!$D:$D,'Bridge Summary'!$B13,'Bridge Asset'!$CR:$CR,'Bridge Summary'!J$5)</f>
        <v>0</v>
      </c>
      <c r="K13" s="44">
        <f t="shared" si="0"/>
        <v>0</v>
      </c>
      <c r="L13" s="26">
        <f t="shared" si="1"/>
        <v>0</v>
      </c>
      <c r="N13" s="12" t="str">
        <f t="shared" si="2"/>
        <v>N/A</v>
      </c>
      <c r="O13" s="12" t="str">
        <f t="shared" si="3"/>
        <v>N/A</v>
      </c>
      <c r="P13" s="12" t="str">
        <f t="shared" si="4"/>
        <v>N/A</v>
      </c>
      <c r="Q13" s="12" t="str">
        <f t="shared" si="5"/>
        <v>N/A</v>
      </c>
    </row>
    <row r="14" spans="2:17" ht="15" customHeight="1" outlineLevel="1" x14ac:dyDescent="0.35">
      <c r="B14" s="40" t="s">
        <v>24</v>
      </c>
      <c r="C14" s="26">
        <f>COUNTIFS('Bridge Loan'!$AM:$AM,'Bridge Summary'!$B$7,'Bridge Loan'!$D:$D,'Bridge Summary'!$B14)</f>
        <v>0</v>
      </c>
      <c r="D14" s="26">
        <f>COUNTIFS('Bridge Asset'!$BU:$BU,'Bridge Summary'!$B$7,'Bridge Asset'!$D:$D,'Bridge Summary'!$B14)</f>
        <v>0</v>
      </c>
      <c r="E14" s="26">
        <f>SUMIFS('Bridge Asset'!$AJ:$AJ,'Bridge Asset'!$BU:$BU,'Bridge Summary'!$B$7,'Bridge Asset'!$D:$D,'Bridge Summary'!$B14,'Bridge Asset'!$CR:$CR,'Bridge Summary'!E$5)</f>
        <v>0</v>
      </c>
      <c r="F14" s="26">
        <f>SUMIFS('Bridge Asset'!$AJ:$AJ,'Bridge Asset'!$BU:$BU,'Bridge Summary'!$B$7,'Bridge Asset'!$D:$D,'Bridge Summary'!$B14,'Bridge Asset'!$CR:$CR,'Bridge Summary'!F$5)</f>
        <v>0</v>
      </c>
      <c r="G14" s="26">
        <f>SUMIFS('Bridge Asset'!$AJ:$AJ,'Bridge Asset'!$BU:$BU,'Bridge Summary'!$B$7,'Bridge Asset'!$D:$D,'Bridge Summary'!$B14,'Bridge Asset'!$CR:$CR,'Bridge Summary'!G$5)</f>
        <v>0</v>
      </c>
      <c r="H14" s="26">
        <f>SUMIFS('Bridge Asset'!$AJ:$AJ,'Bridge Asset'!$BU:$BU,'Bridge Summary'!$B$7,'Bridge Asset'!$D:$D,'Bridge Summary'!$B14,'Bridge Asset'!$CR:$CR,'Bridge Summary'!H$5)</f>
        <v>0</v>
      </c>
      <c r="I14" s="26">
        <f>SUMIFS('Bridge Asset'!$AJ:$AJ,'Bridge Asset'!$BU:$BU,'Bridge Summary'!$B$7,'Bridge Asset'!$D:$D,'Bridge Summary'!$B14,'Bridge Asset'!$CR:$CR,'Bridge Summary'!I$5)</f>
        <v>0</v>
      </c>
      <c r="J14" s="26">
        <f>SUMIFS('Bridge Asset'!$AJ:$AJ,'Bridge Asset'!$BU:$BU,'Bridge Summary'!$B$7,'Bridge Asset'!$D:$D,'Bridge Summary'!$B14,'Bridge Asset'!$CR:$CR,'Bridge Summary'!J$5)</f>
        <v>0</v>
      </c>
      <c r="K14" s="44">
        <f t="shared" si="0"/>
        <v>0</v>
      </c>
      <c r="L14" s="26">
        <f t="shared" si="1"/>
        <v>0</v>
      </c>
      <c r="N14" s="12" t="str">
        <f t="shared" si="2"/>
        <v>N/A</v>
      </c>
      <c r="O14" s="12" t="str">
        <f t="shared" si="3"/>
        <v>N/A</v>
      </c>
      <c r="P14" s="12" t="str">
        <f t="shared" si="4"/>
        <v>N/A</v>
      </c>
      <c r="Q14" s="12" t="str">
        <f t="shared" si="5"/>
        <v>N/A</v>
      </c>
    </row>
    <row r="15" spans="2:17" ht="15" customHeight="1" x14ac:dyDescent="0.35">
      <c r="B15" s="38" t="s">
        <v>25</v>
      </c>
      <c r="C15" s="37">
        <f>COUNTIFS('Bridge Loan'!$AM:$AM,'Bridge Summary'!$B15)</f>
        <v>0</v>
      </c>
      <c r="D15" s="37">
        <f>COUNTIFS('Bridge Asset'!$BU:$BU,'Bridge Summary'!$B15)</f>
        <v>0</v>
      </c>
      <c r="E15" s="37">
        <f>SUMIFS('Bridge Asset'!$AJ:$AJ,'Bridge Asset'!$BU:$BU,'Bridge Summary'!$B15,'Bridge Asset'!$CR:$CR,'Bridge Summary'!E$5)</f>
        <v>0</v>
      </c>
      <c r="F15" s="37">
        <f>SUMIFS('Bridge Asset'!$AJ:$AJ,'Bridge Asset'!$BU:$BU,'Bridge Summary'!$B15,'Bridge Asset'!$CR:$CR,'Bridge Summary'!F$5)</f>
        <v>0</v>
      </c>
      <c r="G15" s="37">
        <f>SUMIFS('Bridge Asset'!$AJ:$AJ,'Bridge Asset'!$BU:$BU,'Bridge Summary'!$B15,'Bridge Asset'!$CR:$CR,'Bridge Summary'!G$5)</f>
        <v>0</v>
      </c>
      <c r="H15" s="37">
        <f>SUMIFS('Bridge Asset'!$AJ:$AJ,'Bridge Asset'!$BU:$BU,'Bridge Summary'!$B15,'Bridge Asset'!$CR:$CR,'Bridge Summary'!H$5)</f>
        <v>0</v>
      </c>
      <c r="I15" s="37">
        <f>SUMIFS('Bridge Asset'!$AJ:$AJ,'Bridge Asset'!$BU:$BU,'Bridge Summary'!$B15,'Bridge Asset'!$CR:$CR,'Bridge Summary'!I$5)</f>
        <v>0</v>
      </c>
      <c r="J15" s="37">
        <f>SUMIFS('Bridge Asset'!$AJ:$AJ,'Bridge Asset'!$BU:$BU,'Bridge Summary'!$B15,'Bridge Asset'!$CR:$CR,'Bridge Summary'!J$5)</f>
        <v>0</v>
      </c>
      <c r="K15" s="43">
        <f t="shared" si="0"/>
        <v>0</v>
      </c>
      <c r="L15" s="37">
        <f t="shared" si="1"/>
        <v>0</v>
      </c>
      <c r="N15" s="12" t="str">
        <f t="shared" si="2"/>
        <v>N/A</v>
      </c>
      <c r="O15" s="12" t="str">
        <f t="shared" si="3"/>
        <v>N/A</v>
      </c>
      <c r="P15" s="12" t="str">
        <f t="shared" si="4"/>
        <v>N/A</v>
      </c>
      <c r="Q15" s="12" t="str">
        <f t="shared" si="5"/>
        <v>N/A</v>
      </c>
    </row>
    <row r="16" spans="2:17" ht="15" customHeight="1" x14ac:dyDescent="0.35">
      <c r="B16" s="38" t="s">
        <v>26</v>
      </c>
      <c r="C16" s="37">
        <f>COUNTIFS('Bridge Loan'!$AM:$AM,'Bridge Summary'!$B16)</f>
        <v>0</v>
      </c>
      <c r="D16" s="37">
        <f>COUNTIFS('Bridge Asset'!$BU:$BU,'Bridge Summary'!$B16)</f>
        <v>0</v>
      </c>
      <c r="E16" s="37">
        <f>SUMIFS('Bridge Asset'!$AJ:$AJ,'Bridge Asset'!$BU:$BU,'Bridge Summary'!$B16,'Bridge Asset'!$CR:$CR,'Bridge Summary'!E$5)</f>
        <v>0</v>
      </c>
      <c r="F16" s="37">
        <f>SUMIFS('Bridge Asset'!$AJ:$AJ,'Bridge Asset'!$BU:$BU,'Bridge Summary'!$B16,'Bridge Asset'!$CR:$CR,'Bridge Summary'!F$5)</f>
        <v>0</v>
      </c>
      <c r="G16" s="37">
        <f>SUMIFS('Bridge Asset'!$AJ:$AJ,'Bridge Asset'!$BU:$BU,'Bridge Summary'!$B16,'Bridge Asset'!$CR:$CR,'Bridge Summary'!G$5)</f>
        <v>0</v>
      </c>
      <c r="H16" s="37">
        <f>SUMIFS('Bridge Asset'!$AJ:$AJ,'Bridge Asset'!$BU:$BU,'Bridge Summary'!$B16,'Bridge Asset'!$CR:$CR,'Bridge Summary'!H$5)</f>
        <v>0</v>
      </c>
      <c r="I16" s="37">
        <f>SUMIFS('Bridge Asset'!$AJ:$AJ,'Bridge Asset'!$BU:$BU,'Bridge Summary'!$B16,'Bridge Asset'!$CR:$CR,'Bridge Summary'!I$5)</f>
        <v>0</v>
      </c>
      <c r="J16" s="37">
        <f>SUMIFS('Bridge Asset'!$AJ:$AJ,'Bridge Asset'!$BU:$BU,'Bridge Summary'!$B16,'Bridge Asset'!$CR:$CR,'Bridge Summary'!J$5)</f>
        <v>0</v>
      </c>
      <c r="K16" s="43">
        <f t="shared" si="0"/>
        <v>0</v>
      </c>
      <c r="L16" s="37">
        <f t="shared" si="1"/>
        <v>0</v>
      </c>
      <c r="N16" s="12" t="str">
        <f t="shared" si="2"/>
        <v>N/A</v>
      </c>
      <c r="O16" s="12" t="str">
        <f t="shared" si="3"/>
        <v>N/A</v>
      </c>
      <c r="P16" s="12" t="str">
        <f t="shared" si="4"/>
        <v>N/A</v>
      </c>
      <c r="Q16" s="12" t="str">
        <f t="shared" si="5"/>
        <v>N/A</v>
      </c>
    </row>
    <row r="17" spans="2:17" ht="15" customHeight="1" x14ac:dyDescent="0.35">
      <c r="B17" s="38" t="s">
        <v>27</v>
      </c>
      <c r="C17" s="37">
        <f>COUNTIFS('Bridge Loan'!$AM:$AM,'Bridge Summary'!$B17)</f>
        <v>0</v>
      </c>
      <c r="D17" s="37">
        <f>COUNTIFS('Bridge Asset'!$BU:$BU,'Bridge Summary'!$B17)</f>
        <v>0</v>
      </c>
      <c r="E17" s="37">
        <f>SUMIFS('Bridge Asset'!$AJ:$AJ,'Bridge Asset'!$BU:$BU,'Bridge Summary'!$B17,'Bridge Asset'!$CR:$CR,'Bridge Summary'!E$5)</f>
        <v>0</v>
      </c>
      <c r="F17" s="37">
        <f>SUMIFS('Bridge Asset'!$AJ:$AJ,'Bridge Asset'!$BU:$BU,'Bridge Summary'!$B17,'Bridge Asset'!$CR:$CR,'Bridge Summary'!F$5)</f>
        <v>0</v>
      </c>
      <c r="G17" s="37">
        <f>SUMIFS('Bridge Asset'!$AJ:$AJ,'Bridge Asset'!$BU:$BU,'Bridge Summary'!$B17,'Bridge Asset'!$CR:$CR,'Bridge Summary'!G$5)</f>
        <v>0</v>
      </c>
      <c r="H17" s="37">
        <f>SUMIFS('Bridge Asset'!$AJ:$AJ,'Bridge Asset'!$BU:$BU,'Bridge Summary'!$B17,'Bridge Asset'!$CR:$CR,'Bridge Summary'!H$5)</f>
        <v>0</v>
      </c>
      <c r="I17" s="37">
        <f>SUMIFS('Bridge Asset'!$AJ:$AJ,'Bridge Asset'!$BU:$BU,'Bridge Summary'!$B17,'Bridge Asset'!$CR:$CR,'Bridge Summary'!I$5)</f>
        <v>0</v>
      </c>
      <c r="J17" s="37">
        <f>SUMIFS('Bridge Asset'!$AJ:$AJ,'Bridge Asset'!$BU:$BU,'Bridge Summary'!$B17,'Bridge Asset'!$CR:$CR,'Bridge Summary'!J$5)</f>
        <v>0</v>
      </c>
      <c r="K17" s="43">
        <f t="shared" si="0"/>
        <v>0</v>
      </c>
      <c r="L17" s="37">
        <f t="shared" si="1"/>
        <v>0</v>
      </c>
      <c r="N17" s="12" t="str">
        <f t="shared" si="2"/>
        <v>N/A</v>
      </c>
      <c r="O17" s="12" t="str">
        <f t="shared" si="3"/>
        <v>N/A</v>
      </c>
      <c r="P17" s="12" t="str">
        <f t="shared" si="4"/>
        <v>N/A</v>
      </c>
      <c r="Q17" s="12" t="str">
        <f t="shared" si="5"/>
        <v>N/A</v>
      </c>
    </row>
    <row r="18" spans="2:17" ht="15" customHeight="1" x14ac:dyDescent="0.35">
      <c r="B18" s="38" t="s">
        <v>28</v>
      </c>
      <c r="C18" s="37">
        <f>COUNTIFS('Bridge Loan'!$AM:$AM,'Bridge Summary'!$B18)</f>
        <v>0</v>
      </c>
      <c r="D18" s="37">
        <f>COUNTIFS('Bridge Asset'!$BU:$BU,'Bridge Summary'!$B18)</f>
        <v>0</v>
      </c>
      <c r="E18" s="37">
        <f>SUMIFS('Bridge Asset'!$AJ:$AJ,'Bridge Asset'!$BU:$BU,'Bridge Summary'!$B18,'Bridge Asset'!$CR:$CR,'Bridge Summary'!E$5)</f>
        <v>0</v>
      </c>
      <c r="F18" s="37">
        <f>SUMIFS('Bridge Asset'!$AJ:$AJ,'Bridge Asset'!$BU:$BU,'Bridge Summary'!$B18,'Bridge Asset'!$CR:$CR,'Bridge Summary'!F$5)</f>
        <v>0</v>
      </c>
      <c r="G18" s="37">
        <f>SUMIFS('Bridge Asset'!$AJ:$AJ,'Bridge Asset'!$BU:$BU,'Bridge Summary'!$B18,'Bridge Asset'!$CR:$CR,'Bridge Summary'!G$5)</f>
        <v>0</v>
      </c>
      <c r="H18" s="37">
        <f>SUMIFS('Bridge Asset'!$AJ:$AJ,'Bridge Asset'!$BU:$BU,'Bridge Summary'!$B18,'Bridge Asset'!$CR:$CR,'Bridge Summary'!H$5)</f>
        <v>0</v>
      </c>
      <c r="I18" s="37">
        <f>SUMIFS('Bridge Asset'!$AJ:$AJ,'Bridge Asset'!$BU:$BU,'Bridge Summary'!$B18,'Bridge Asset'!$CR:$CR,'Bridge Summary'!I$5)</f>
        <v>0</v>
      </c>
      <c r="J18" s="37">
        <f>SUMIFS('Bridge Asset'!$AJ:$AJ,'Bridge Asset'!$BU:$BU,'Bridge Summary'!$B18,'Bridge Asset'!$CR:$CR,'Bridge Summary'!J$5)</f>
        <v>0</v>
      </c>
      <c r="K18" s="43">
        <f t="shared" si="0"/>
        <v>0</v>
      </c>
      <c r="L18" s="37">
        <f t="shared" si="1"/>
        <v>0</v>
      </c>
      <c r="N18" s="12" t="str">
        <f t="shared" si="2"/>
        <v>N/A</v>
      </c>
      <c r="O18" s="12" t="str">
        <f t="shared" si="3"/>
        <v>N/A</v>
      </c>
      <c r="P18" s="12" t="str">
        <f t="shared" si="4"/>
        <v>N/A</v>
      </c>
      <c r="Q18" s="12" t="str">
        <f t="shared" si="5"/>
        <v>N/A</v>
      </c>
    </row>
    <row r="19" spans="2:17" ht="15" customHeight="1" x14ac:dyDescent="0.35">
      <c r="B19" s="38" t="s">
        <v>29</v>
      </c>
      <c r="C19" s="37">
        <f>COUNTIFS('Bridge Loan'!$AM:$AM,'Bridge Summary'!$B19)</f>
        <v>0</v>
      </c>
      <c r="D19" s="37">
        <f>COUNTIFS('Bridge Asset'!$BU:$BU,'Bridge Summary'!$B19)</f>
        <v>0</v>
      </c>
      <c r="E19" s="37">
        <f>SUMIFS('Bridge Asset'!$AJ:$AJ,'Bridge Asset'!$BU:$BU,'Bridge Summary'!$B19,'Bridge Asset'!$CR:$CR,'Bridge Summary'!E$5)</f>
        <v>0</v>
      </c>
      <c r="F19" s="37">
        <f>SUMIFS('Bridge Asset'!$AJ:$AJ,'Bridge Asset'!$BU:$BU,'Bridge Summary'!$B19,'Bridge Asset'!$CR:$CR,'Bridge Summary'!F$5)</f>
        <v>0</v>
      </c>
      <c r="G19" s="37">
        <f>SUMIFS('Bridge Asset'!$AJ:$AJ,'Bridge Asset'!$BU:$BU,'Bridge Summary'!$B19,'Bridge Asset'!$CR:$CR,'Bridge Summary'!G$5)</f>
        <v>0</v>
      </c>
      <c r="H19" s="37">
        <f>SUMIFS('Bridge Asset'!$AJ:$AJ,'Bridge Asset'!$BU:$BU,'Bridge Summary'!$B19,'Bridge Asset'!$CR:$CR,'Bridge Summary'!H$5)</f>
        <v>0</v>
      </c>
      <c r="I19" s="37">
        <f>SUMIFS('Bridge Asset'!$AJ:$AJ,'Bridge Asset'!$BU:$BU,'Bridge Summary'!$B19,'Bridge Asset'!$CR:$CR,'Bridge Summary'!I$5)</f>
        <v>0</v>
      </c>
      <c r="J19" s="37">
        <f>SUMIFS('Bridge Asset'!$AJ:$AJ,'Bridge Asset'!$BU:$BU,'Bridge Summary'!$B19,'Bridge Asset'!$CR:$CR,'Bridge Summary'!J$5)</f>
        <v>0</v>
      </c>
      <c r="K19" s="43">
        <f t="shared" si="0"/>
        <v>0</v>
      </c>
      <c r="L19" s="37">
        <f t="shared" si="1"/>
        <v>0</v>
      </c>
      <c r="N19" s="12" t="str">
        <f t="shared" si="2"/>
        <v>N/A</v>
      </c>
      <c r="O19" s="12" t="str">
        <f t="shared" si="3"/>
        <v>N/A</v>
      </c>
      <c r="P19" s="12" t="str">
        <f t="shared" si="4"/>
        <v>N/A</v>
      </c>
      <c r="Q19" s="12" t="str">
        <f t="shared" si="5"/>
        <v>N/A</v>
      </c>
    </row>
    <row r="20" spans="2:17" ht="15" customHeight="1" x14ac:dyDescent="0.35">
      <c r="B20" s="45" t="s">
        <v>30</v>
      </c>
      <c r="C20" s="46">
        <f t="shared" ref="C20:L20" si="7">+C$6+C$7+C$15+C$16+C$17+C$18+C$19</f>
        <v>0</v>
      </c>
      <c r="D20" s="46">
        <f t="shared" si="7"/>
        <v>0</v>
      </c>
      <c r="E20" s="46">
        <f t="shared" si="7"/>
        <v>0</v>
      </c>
      <c r="F20" s="46">
        <f t="shared" si="7"/>
        <v>0</v>
      </c>
      <c r="G20" s="46">
        <f t="shared" si="7"/>
        <v>0</v>
      </c>
      <c r="H20" s="46">
        <f t="shared" si="7"/>
        <v>0</v>
      </c>
      <c r="I20" s="46">
        <f t="shared" si="7"/>
        <v>0</v>
      </c>
      <c r="J20" s="46">
        <f t="shared" si="7"/>
        <v>0</v>
      </c>
      <c r="K20" s="47">
        <f t="shared" si="7"/>
        <v>0</v>
      </c>
      <c r="L20" s="48">
        <f t="shared" si="7"/>
        <v>0</v>
      </c>
      <c r="N20" s="13" t="str">
        <f t="shared" si="2"/>
        <v>N/A</v>
      </c>
      <c r="O20" s="14" t="str">
        <f t="shared" si="3"/>
        <v>N/A</v>
      </c>
      <c r="P20" s="14" t="str">
        <f t="shared" si="4"/>
        <v>N/A</v>
      </c>
      <c r="Q20" s="15" t="str">
        <f t="shared" si="5"/>
        <v>N/A</v>
      </c>
    </row>
    <row r="21" spans="2:17" ht="15" customHeight="1" x14ac:dyDescent="0.35">
      <c r="B21" s="45" t="s">
        <v>31</v>
      </c>
      <c r="C21" s="46">
        <f t="shared" ref="C21:L21" si="8">+C$20-C$19</f>
        <v>0</v>
      </c>
      <c r="D21" s="46">
        <f t="shared" si="8"/>
        <v>0</v>
      </c>
      <c r="E21" s="46">
        <f t="shared" si="8"/>
        <v>0</v>
      </c>
      <c r="F21" s="46">
        <f t="shared" si="8"/>
        <v>0</v>
      </c>
      <c r="G21" s="46">
        <f t="shared" si="8"/>
        <v>0</v>
      </c>
      <c r="H21" s="46">
        <f t="shared" si="8"/>
        <v>0</v>
      </c>
      <c r="I21" s="46">
        <f t="shared" si="8"/>
        <v>0</v>
      </c>
      <c r="J21" s="46">
        <f t="shared" si="8"/>
        <v>0</v>
      </c>
      <c r="K21" s="47">
        <f t="shared" si="8"/>
        <v>0</v>
      </c>
      <c r="L21" s="48">
        <f t="shared" si="8"/>
        <v>0</v>
      </c>
      <c r="N21" s="56" t="str">
        <f t="shared" si="2"/>
        <v>N/A</v>
      </c>
      <c r="O21" s="17" t="str">
        <f t="shared" si="3"/>
        <v>N/A</v>
      </c>
      <c r="P21" s="17" t="str">
        <f t="shared" si="4"/>
        <v>N/A</v>
      </c>
      <c r="Q21" s="57" t="str">
        <f t="shared" si="5"/>
        <v>N/A</v>
      </c>
    </row>
    <row r="23" spans="2:17" x14ac:dyDescent="0.35">
      <c r="B23" s="51" t="s">
        <v>32</v>
      </c>
      <c r="C23" s="20">
        <f t="shared" ref="C23:J23" si="9">+C$6</f>
        <v>0</v>
      </c>
      <c r="D23" s="20">
        <f t="shared" si="9"/>
        <v>0</v>
      </c>
      <c r="E23" s="20">
        <f t="shared" si="9"/>
        <v>0</v>
      </c>
      <c r="F23" s="20">
        <f t="shared" si="9"/>
        <v>0</v>
      </c>
      <c r="G23" s="20">
        <f t="shared" si="9"/>
        <v>0</v>
      </c>
      <c r="H23" s="20">
        <f t="shared" si="9"/>
        <v>0</v>
      </c>
      <c r="I23" s="20">
        <f t="shared" si="9"/>
        <v>0</v>
      </c>
      <c r="J23" s="20">
        <f t="shared" si="9"/>
        <v>0</v>
      </c>
      <c r="K23" s="19">
        <f>SUM($E23:$J23)</f>
        <v>0</v>
      </c>
      <c r="L23" s="20">
        <f>+$K23-$J23</f>
        <v>0</v>
      </c>
      <c r="N23" s="16" t="str">
        <f>IFERROR(SUM($G23:$I23)/$L23,"N/A")</f>
        <v>N/A</v>
      </c>
      <c r="O23" s="16" t="str">
        <f>IFERROR(SUM($H23:$I23)/$L23,"N/A")</f>
        <v>N/A</v>
      </c>
      <c r="P23" s="16" t="str">
        <f>IFERROR($I23/$L23,"N/A")</f>
        <v>N/A</v>
      </c>
      <c r="Q23" s="16" t="str">
        <f>IFERROR($J23/$K23,"N/A")</f>
        <v>N/A</v>
      </c>
    </row>
    <row r="24" spans="2:17" x14ac:dyDescent="0.35">
      <c r="B24" s="38" t="s">
        <v>33</v>
      </c>
      <c r="C24" s="37">
        <f t="shared" ref="C24:J24" si="10">+C$7+C$15</f>
        <v>0</v>
      </c>
      <c r="D24" s="37">
        <f t="shared" si="10"/>
        <v>0</v>
      </c>
      <c r="E24" s="37">
        <f t="shared" si="10"/>
        <v>0</v>
      </c>
      <c r="F24" s="37">
        <f t="shared" si="10"/>
        <v>0</v>
      </c>
      <c r="G24" s="37">
        <f t="shared" si="10"/>
        <v>0</v>
      </c>
      <c r="H24" s="37">
        <f t="shared" si="10"/>
        <v>0</v>
      </c>
      <c r="I24" s="37">
        <f t="shared" si="10"/>
        <v>0</v>
      </c>
      <c r="J24" s="37">
        <f t="shared" si="10"/>
        <v>0</v>
      </c>
      <c r="K24" s="43">
        <f>SUM($E24:$J24)</f>
        <v>0</v>
      </c>
      <c r="L24" s="37">
        <f>+$K24-$J24</f>
        <v>0</v>
      </c>
      <c r="N24" s="12" t="str">
        <f>IFERROR(SUM($G24:$I24)/$L24,"N/A")</f>
        <v>N/A</v>
      </c>
      <c r="O24" s="12" t="str">
        <f>IFERROR(SUM($H24:$I24)/$L24,"N/A")</f>
        <v>N/A</v>
      </c>
      <c r="P24" s="12" t="str">
        <f>IFERROR($I24/$L24,"N/A")</f>
        <v>N/A</v>
      </c>
      <c r="Q24" s="12" t="str">
        <f>IFERROR($J24/$K24,"N/A")</f>
        <v>N/A</v>
      </c>
    </row>
    <row r="25" spans="2:17" x14ac:dyDescent="0.35">
      <c r="B25" s="45" t="s">
        <v>34</v>
      </c>
      <c r="C25" s="46">
        <f t="shared" ref="C25:J25" si="11">SUM(C$23:C$24)</f>
        <v>0</v>
      </c>
      <c r="D25" s="46">
        <f t="shared" si="11"/>
        <v>0</v>
      </c>
      <c r="E25" s="46">
        <f t="shared" si="11"/>
        <v>0</v>
      </c>
      <c r="F25" s="46">
        <f t="shared" si="11"/>
        <v>0</v>
      </c>
      <c r="G25" s="46">
        <f t="shared" si="11"/>
        <v>0</v>
      </c>
      <c r="H25" s="46">
        <f t="shared" si="11"/>
        <v>0</v>
      </c>
      <c r="I25" s="46">
        <f t="shared" si="11"/>
        <v>0</v>
      </c>
      <c r="J25" s="46">
        <f t="shared" si="11"/>
        <v>0</v>
      </c>
      <c r="K25" s="47">
        <f>SUM($E25:$J25)</f>
        <v>0</v>
      </c>
      <c r="L25" s="48">
        <f>+$K25-$J25</f>
        <v>0</v>
      </c>
      <c r="N25" s="13" t="str">
        <f>IFERROR(SUM($G25:$I25)/$L25,"N/A")</f>
        <v>N/A</v>
      </c>
      <c r="O25" s="14" t="str">
        <f>IFERROR(SUM($H25:$I25)/$L25,"N/A")</f>
        <v>N/A</v>
      </c>
      <c r="P25" s="14" t="str">
        <f>IFERROR($I25/$L25,"N/A")</f>
        <v>N/A</v>
      </c>
      <c r="Q25" s="15" t="str">
        <f>IFERROR($J25/$K25,"N/A")</f>
        <v>N/A</v>
      </c>
    </row>
    <row r="28" spans="2:17" x14ac:dyDescent="0.35">
      <c r="B28" s="38" t="s">
        <v>35</v>
      </c>
    </row>
    <row r="29" spans="2:17" ht="22.5" customHeight="1" x14ac:dyDescent="0.35">
      <c r="B29" s="41"/>
      <c r="C29" s="41" t="str">
        <f t="shared" ref="C29:L29" si="12">+C$5</f>
        <v>Loan Count</v>
      </c>
      <c r="D29" s="41" t="str">
        <f t="shared" si="12"/>
        <v>Asset Count</v>
      </c>
      <c r="E29" s="41" t="str">
        <f t="shared" si="12"/>
        <v>Current</v>
      </c>
      <c r="F29" s="41" t="str">
        <f t="shared" si="12"/>
        <v>DQ 1-29</v>
      </c>
      <c r="G29" s="41" t="str">
        <f t="shared" si="12"/>
        <v>DQ 30-59</v>
      </c>
      <c r="H29" s="41" t="str">
        <f t="shared" si="12"/>
        <v>DQ 60-89</v>
      </c>
      <c r="I29" s="41" t="str">
        <f t="shared" si="12"/>
        <v>DQ 90+</v>
      </c>
      <c r="J29" s="41" t="str">
        <f t="shared" si="12"/>
        <v>REO</v>
      </c>
      <c r="K29" s="42" t="str">
        <f t="shared" si="12"/>
        <v>Total</v>
      </c>
      <c r="L29" s="41" t="str">
        <f t="shared" si="12"/>
        <v>Total Ex. REO</v>
      </c>
      <c r="N29" s="41" t="str">
        <f>+N$5</f>
        <v>DQ 30+ %</v>
      </c>
      <c r="O29" s="41" t="str">
        <f>+O$5</f>
        <v>DQ 60+ %</v>
      </c>
      <c r="P29" s="41" t="str">
        <f>+P$5</f>
        <v>DQ 90+ %</v>
      </c>
      <c r="Q29" s="41" t="str">
        <f>+Q$5</f>
        <v>REO %</v>
      </c>
    </row>
    <row r="30" spans="2:17" x14ac:dyDescent="0.35">
      <c r="B30" s="38" t="s">
        <v>36</v>
      </c>
      <c r="C30" s="37">
        <f>COUNTIFS('Bridge Loan'!$AS:$AS,'Bridge Summary'!$B30)</f>
        <v>0</v>
      </c>
      <c r="D30" s="37">
        <f>COUNTIFS('Bridge Asset'!$BZ:$BZ,'Bridge Summary'!$B30)</f>
        <v>0</v>
      </c>
      <c r="E30" s="37">
        <f>SUMIFS('Bridge Asset'!$AJ:$AJ,'Bridge Asset'!$BZ:$BZ,'Bridge Summary'!$B30,'Bridge Asset'!$CR:$CR,'Bridge Summary'!E$29)</f>
        <v>0</v>
      </c>
      <c r="F30" s="37">
        <f>SUMIFS('Bridge Asset'!$AJ:$AJ,'Bridge Asset'!$BZ:$BZ,'Bridge Summary'!$B30,'Bridge Asset'!$CR:$CR,'Bridge Summary'!F$29)</f>
        <v>0</v>
      </c>
      <c r="G30" s="37">
        <f>SUMIFS('Bridge Asset'!$AJ:$AJ,'Bridge Asset'!$BZ:$BZ,'Bridge Summary'!$B30,'Bridge Asset'!$CR:$CR,'Bridge Summary'!G$29)</f>
        <v>0</v>
      </c>
      <c r="H30" s="37">
        <f>SUMIFS('Bridge Asset'!$AJ:$AJ,'Bridge Asset'!$BZ:$BZ,'Bridge Summary'!$B30,'Bridge Asset'!$CR:$CR,'Bridge Summary'!H$29)</f>
        <v>0</v>
      </c>
      <c r="I30" s="37">
        <f>SUMIFS('Bridge Asset'!$AJ:$AJ,'Bridge Asset'!$BZ:$BZ,'Bridge Summary'!$B30,'Bridge Asset'!$CR:$CR,'Bridge Summary'!I$29)</f>
        <v>0</v>
      </c>
      <c r="J30" s="37">
        <f>SUMIFS('Bridge Asset'!$AJ:$AJ,'Bridge Asset'!$BZ:$BZ,'Bridge Summary'!$B30,'Bridge Asset'!$CR:$CR,'Bridge Summary'!J$29)</f>
        <v>0</v>
      </c>
      <c r="K30" s="43">
        <f t="shared" ref="K30:K36" si="13">SUM($E30:$J30)</f>
        <v>0</v>
      </c>
      <c r="L30" s="37">
        <f t="shared" ref="L30:L36" si="14">+$K30-$J30</f>
        <v>0</v>
      </c>
      <c r="N30" s="12" t="str">
        <f t="shared" ref="N30:N36" si="15">IFERROR(SUM($G30:$I30)/$L30,"N/A")</f>
        <v>N/A</v>
      </c>
      <c r="O30" s="12" t="str">
        <f t="shared" ref="O30:O36" si="16">IFERROR(SUM($H30:$I30)/$L30,"N/A")</f>
        <v>N/A</v>
      </c>
      <c r="P30" s="12" t="str">
        <f t="shared" ref="P30:P36" si="17">IFERROR($I30/$L30,"N/A")</f>
        <v>N/A</v>
      </c>
      <c r="Q30" s="12" t="str">
        <f t="shared" ref="Q30:Q36" si="18">IFERROR($J30/$K30,"N/A")</f>
        <v>N/A</v>
      </c>
    </row>
    <row r="31" spans="2:17" x14ac:dyDescent="0.35">
      <c r="B31" s="38" t="s">
        <v>37</v>
      </c>
      <c r="C31" s="37">
        <f>COUNTIFS('Bridge Loan'!$AS:$AS,'Bridge Summary'!$B31)</f>
        <v>0</v>
      </c>
      <c r="D31" s="37">
        <f>COUNTIFS('Bridge Asset'!$BZ:$BZ,'Bridge Summary'!$B31)</f>
        <v>0</v>
      </c>
      <c r="E31" s="37">
        <f>SUMIFS('Bridge Asset'!$AJ:$AJ,'Bridge Asset'!$BZ:$BZ,'Bridge Summary'!$B31,'Bridge Asset'!$CR:$CR,'Bridge Summary'!E$29)</f>
        <v>0</v>
      </c>
      <c r="F31" s="37">
        <f>SUMIFS('Bridge Asset'!$AJ:$AJ,'Bridge Asset'!$BZ:$BZ,'Bridge Summary'!$B31,'Bridge Asset'!$CR:$CR,'Bridge Summary'!F$29)</f>
        <v>0</v>
      </c>
      <c r="G31" s="37">
        <f>SUMIFS('Bridge Asset'!$AJ:$AJ,'Bridge Asset'!$BZ:$BZ,'Bridge Summary'!$B31,'Bridge Asset'!$CR:$CR,'Bridge Summary'!G$29)</f>
        <v>0</v>
      </c>
      <c r="H31" s="37">
        <f>SUMIFS('Bridge Asset'!$AJ:$AJ,'Bridge Asset'!$BZ:$BZ,'Bridge Summary'!$B31,'Bridge Asset'!$CR:$CR,'Bridge Summary'!H$29)</f>
        <v>0</v>
      </c>
      <c r="I31" s="37">
        <f>SUMIFS('Bridge Asset'!$AJ:$AJ,'Bridge Asset'!$BZ:$BZ,'Bridge Summary'!$B31,'Bridge Asset'!$CR:$CR,'Bridge Summary'!I$29)</f>
        <v>0</v>
      </c>
      <c r="J31" s="37">
        <f>SUMIFS('Bridge Asset'!$AJ:$AJ,'Bridge Asset'!$BZ:$BZ,'Bridge Summary'!$B31,'Bridge Asset'!$CR:$CR,'Bridge Summary'!J$29)</f>
        <v>0</v>
      </c>
      <c r="K31" s="43">
        <f t="shared" si="13"/>
        <v>0</v>
      </c>
      <c r="L31" s="37">
        <f t="shared" si="14"/>
        <v>0</v>
      </c>
      <c r="N31" s="12" t="str">
        <f t="shared" si="15"/>
        <v>N/A</v>
      </c>
      <c r="O31" s="12" t="str">
        <f t="shared" si="16"/>
        <v>N/A</v>
      </c>
      <c r="P31" s="12" t="str">
        <f t="shared" si="17"/>
        <v>N/A</v>
      </c>
      <c r="Q31" s="12" t="str">
        <f t="shared" si="18"/>
        <v>N/A</v>
      </c>
    </row>
    <row r="32" spans="2:17" x14ac:dyDescent="0.35">
      <c r="B32" s="38" t="s">
        <v>38</v>
      </c>
      <c r="C32" s="37">
        <f>COUNTIFS('Bridge Loan'!$AS:$AS,'Bridge Summary'!$B32)</f>
        <v>0</v>
      </c>
      <c r="D32" s="37">
        <f>COUNTIFS('Bridge Asset'!$BZ:$BZ,'Bridge Summary'!$B32)</f>
        <v>0</v>
      </c>
      <c r="E32" s="37">
        <f>SUMIFS('Bridge Asset'!$AJ:$AJ,'Bridge Asset'!$BZ:$BZ,'Bridge Summary'!$B32,'Bridge Asset'!$CR:$CR,'Bridge Summary'!E$29)</f>
        <v>0</v>
      </c>
      <c r="F32" s="37">
        <f>SUMIFS('Bridge Asset'!$AJ:$AJ,'Bridge Asset'!$BZ:$BZ,'Bridge Summary'!$B32,'Bridge Asset'!$CR:$CR,'Bridge Summary'!F$29)</f>
        <v>0</v>
      </c>
      <c r="G32" s="37">
        <f>SUMIFS('Bridge Asset'!$AJ:$AJ,'Bridge Asset'!$BZ:$BZ,'Bridge Summary'!$B32,'Bridge Asset'!$CR:$CR,'Bridge Summary'!G$29)</f>
        <v>0</v>
      </c>
      <c r="H32" s="37">
        <f>SUMIFS('Bridge Asset'!$AJ:$AJ,'Bridge Asset'!$BZ:$BZ,'Bridge Summary'!$B32,'Bridge Asset'!$CR:$CR,'Bridge Summary'!H$29)</f>
        <v>0</v>
      </c>
      <c r="I32" s="37">
        <f>SUMIFS('Bridge Asset'!$AJ:$AJ,'Bridge Asset'!$BZ:$BZ,'Bridge Summary'!$B32,'Bridge Asset'!$CR:$CR,'Bridge Summary'!I$29)</f>
        <v>0</v>
      </c>
      <c r="J32" s="37">
        <f>SUMIFS('Bridge Asset'!$AJ:$AJ,'Bridge Asset'!$BZ:$BZ,'Bridge Summary'!$B32,'Bridge Asset'!$CR:$CR,'Bridge Summary'!J$29)</f>
        <v>0</v>
      </c>
      <c r="K32" s="43">
        <f t="shared" si="13"/>
        <v>0</v>
      </c>
      <c r="L32" s="37">
        <f t="shared" si="14"/>
        <v>0</v>
      </c>
      <c r="N32" s="12" t="str">
        <f t="shared" si="15"/>
        <v>N/A</v>
      </c>
      <c r="O32" s="12" t="str">
        <f t="shared" si="16"/>
        <v>N/A</v>
      </c>
      <c r="P32" s="12" t="str">
        <f t="shared" si="17"/>
        <v>N/A</v>
      </c>
      <c r="Q32" s="12" t="str">
        <f t="shared" si="18"/>
        <v>N/A</v>
      </c>
    </row>
    <row r="33" spans="2:17" x14ac:dyDescent="0.35">
      <c r="B33" s="38" t="s">
        <v>39</v>
      </c>
      <c r="C33" s="37">
        <f>COUNTIFS('Bridge Loan'!$AS:$AS,'Bridge Summary'!$B33)</f>
        <v>0</v>
      </c>
      <c r="D33" s="37">
        <f>COUNTIFS('Bridge Asset'!$BZ:$BZ,'Bridge Summary'!$B33)</f>
        <v>0</v>
      </c>
      <c r="E33" s="37">
        <f>SUMIFS('Bridge Asset'!$AJ:$AJ,'Bridge Asset'!$BZ:$BZ,'Bridge Summary'!$B33,'Bridge Asset'!$CR:$CR,'Bridge Summary'!E$29)</f>
        <v>0</v>
      </c>
      <c r="F33" s="37">
        <f>SUMIFS('Bridge Asset'!$AJ:$AJ,'Bridge Asset'!$BZ:$BZ,'Bridge Summary'!$B33,'Bridge Asset'!$CR:$CR,'Bridge Summary'!F$29)</f>
        <v>0</v>
      </c>
      <c r="G33" s="37">
        <f>SUMIFS('Bridge Asset'!$AJ:$AJ,'Bridge Asset'!$BZ:$BZ,'Bridge Summary'!$B33,'Bridge Asset'!$CR:$CR,'Bridge Summary'!G$29)</f>
        <v>0</v>
      </c>
      <c r="H33" s="37">
        <f>SUMIFS('Bridge Asset'!$AJ:$AJ,'Bridge Asset'!$BZ:$BZ,'Bridge Summary'!$B33,'Bridge Asset'!$CR:$CR,'Bridge Summary'!H$29)</f>
        <v>0</v>
      </c>
      <c r="I33" s="37">
        <f>SUMIFS('Bridge Asset'!$AJ:$AJ,'Bridge Asset'!$BZ:$BZ,'Bridge Summary'!$B33,'Bridge Asset'!$CR:$CR,'Bridge Summary'!I$29)</f>
        <v>0</v>
      </c>
      <c r="J33" s="37">
        <f>SUMIFS('Bridge Asset'!$AJ:$AJ,'Bridge Asset'!$BZ:$BZ,'Bridge Summary'!$B33,'Bridge Asset'!$CR:$CR,'Bridge Summary'!J$29)</f>
        <v>0</v>
      </c>
      <c r="K33" s="43">
        <f t="shared" si="13"/>
        <v>0</v>
      </c>
      <c r="L33" s="37">
        <f t="shared" si="14"/>
        <v>0</v>
      </c>
      <c r="N33" s="12" t="str">
        <f t="shared" si="15"/>
        <v>N/A</v>
      </c>
      <c r="O33" s="12" t="str">
        <f t="shared" si="16"/>
        <v>N/A</v>
      </c>
      <c r="P33" s="12" t="str">
        <f t="shared" si="17"/>
        <v>N/A</v>
      </c>
      <c r="Q33" s="12" t="str">
        <f t="shared" si="18"/>
        <v>N/A</v>
      </c>
    </row>
    <row r="34" spans="2:17" x14ac:dyDescent="0.35">
      <c r="B34" s="38" t="s">
        <v>40</v>
      </c>
      <c r="C34" s="37">
        <f>COUNTIFS('Bridge Loan'!$AS:$AS,'Bridge Summary'!$B34)</f>
        <v>0</v>
      </c>
      <c r="D34" s="37">
        <f>COUNTIFS('Bridge Asset'!$BZ:$BZ,'Bridge Summary'!$B34)</f>
        <v>0</v>
      </c>
      <c r="E34" s="37">
        <f>SUMIFS('Bridge Asset'!$AJ:$AJ,'Bridge Asset'!$BZ:$BZ,'Bridge Summary'!$B34,'Bridge Asset'!$CR:$CR,'Bridge Summary'!E$29)</f>
        <v>0</v>
      </c>
      <c r="F34" s="37">
        <f>SUMIFS('Bridge Asset'!$AJ:$AJ,'Bridge Asset'!$BZ:$BZ,'Bridge Summary'!$B34,'Bridge Asset'!$CR:$CR,'Bridge Summary'!F$29)</f>
        <v>0</v>
      </c>
      <c r="G34" s="37">
        <f>SUMIFS('Bridge Asset'!$AJ:$AJ,'Bridge Asset'!$BZ:$BZ,'Bridge Summary'!$B34,'Bridge Asset'!$CR:$CR,'Bridge Summary'!G$29)</f>
        <v>0</v>
      </c>
      <c r="H34" s="37">
        <f>SUMIFS('Bridge Asset'!$AJ:$AJ,'Bridge Asset'!$BZ:$BZ,'Bridge Summary'!$B34,'Bridge Asset'!$CR:$CR,'Bridge Summary'!H$29)</f>
        <v>0</v>
      </c>
      <c r="I34" s="37">
        <f>SUMIFS('Bridge Asset'!$AJ:$AJ,'Bridge Asset'!$BZ:$BZ,'Bridge Summary'!$B34,'Bridge Asset'!$CR:$CR,'Bridge Summary'!I$29)</f>
        <v>0</v>
      </c>
      <c r="J34" s="37">
        <f>SUMIFS('Bridge Asset'!$AJ:$AJ,'Bridge Asset'!$BZ:$BZ,'Bridge Summary'!$B34,'Bridge Asset'!$CR:$CR,'Bridge Summary'!J$29)</f>
        <v>0</v>
      </c>
      <c r="K34" s="43">
        <f t="shared" si="13"/>
        <v>0</v>
      </c>
      <c r="L34" s="37">
        <f t="shared" si="14"/>
        <v>0</v>
      </c>
      <c r="N34" s="12" t="str">
        <f t="shared" si="15"/>
        <v>N/A</v>
      </c>
      <c r="O34" s="12" t="str">
        <f t="shared" si="16"/>
        <v>N/A</v>
      </c>
      <c r="P34" s="12" t="str">
        <f t="shared" si="17"/>
        <v>N/A</v>
      </c>
      <c r="Q34" s="12" t="str">
        <f t="shared" si="18"/>
        <v>N/A</v>
      </c>
    </row>
    <row r="35" spans="2:17" x14ac:dyDescent="0.35">
      <c r="B35" s="45" t="s">
        <v>30</v>
      </c>
      <c r="C35" s="46">
        <f t="shared" ref="C35:J35" si="19">SUM(C$30:C$34)</f>
        <v>0</v>
      </c>
      <c r="D35" s="46">
        <f t="shared" si="19"/>
        <v>0</v>
      </c>
      <c r="E35" s="46">
        <f t="shared" si="19"/>
        <v>0</v>
      </c>
      <c r="F35" s="46">
        <f t="shared" si="19"/>
        <v>0</v>
      </c>
      <c r="G35" s="46">
        <f t="shared" si="19"/>
        <v>0</v>
      </c>
      <c r="H35" s="46">
        <f t="shared" si="19"/>
        <v>0</v>
      </c>
      <c r="I35" s="46">
        <f t="shared" si="19"/>
        <v>0</v>
      </c>
      <c r="J35" s="46">
        <f t="shared" si="19"/>
        <v>0</v>
      </c>
      <c r="K35" s="47">
        <f t="shared" si="13"/>
        <v>0</v>
      </c>
      <c r="L35" s="48">
        <f t="shared" si="14"/>
        <v>0</v>
      </c>
      <c r="N35" s="54" t="str">
        <f t="shared" si="15"/>
        <v>N/A</v>
      </c>
      <c r="O35" s="16" t="str">
        <f t="shared" si="16"/>
        <v>N/A</v>
      </c>
      <c r="P35" s="16" t="str">
        <f t="shared" si="17"/>
        <v>N/A</v>
      </c>
      <c r="Q35" s="55" t="str">
        <f t="shared" si="18"/>
        <v>N/A</v>
      </c>
    </row>
    <row r="36" spans="2:17" x14ac:dyDescent="0.35">
      <c r="B36" s="45" t="s">
        <v>31</v>
      </c>
      <c r="C36" s="46">
        <f t="shared" ref="C36:J36" si="20">+C$35-C$34</f>
        <v>0</v>
      </c>
      <c r="D36" s="46">
        <f t="shared" si="20"/>
        <v>0</v>
      </c>
      <c r="E36" s="46">
        <f t="shared" si="20"/>
        <v>0</v>
      </c>
      <c r="F36" s="46">
        <f t="shared" si="20"/>
        <v>0</v>
      </c>
      <c r="G36" s="46">
        <f t="shared" si="20"/>
        <v>0</v>
      </c>
      <c r="H36" s="46">
        <f t="shared" si="20"/>
        <v>0</v>
      </c>
      <c r="I36" s="46">
        <f t="shared" si="20"/>
        <v>0</v>
      </c>
      <c r="J36" s="46">
        <f t="shared" si="20"/>
        <v>0</v>
      </c>
      <c r="K36" s="47">
        <f t="shared" si="13"/>
        <v>0</v>
      </c>
      <c r="L36" s="48">
        <f t="shared" si="14"/>
        <v>0</v>
      </c>
      <c r="N36" s="13" t="str">
        <f t="shared" si="15"/>
        <v>N/A</v>
      </c>
      <c r="O36" s="14" t="str">
        <f t="shared" si="16"/>
        <v>N/A</v>
      </c>
      <c r="P36" s="14" t="str">
        <f t="shared" si="17"/>
        <v>N/A</v>
      </c>
      <c r="Q36" s="15" t="str">
        <f t="shared" si="18"/>
        <v>N/A</v>
      </c>
    </row>
    <row r="39" spans="2:17" x14ac:dyDescent="0.35">
      <c r="B39" s="38" t="s">
        <v>41</v>
      </c>
    </row>
    <row r="40" spans="2:17" ht="30" customHeight="1" x14ac:dyDescent="0.35">
      <c r="B40" s="41"/>
      <c r="C40" s="41" t="str">
        <f t="shared" ref="C40:L40" si="21">+C$29</f>
        <v>Loan Count</v>
      </c>
      <c r="D40" s="41" t="str">
        <f t="shared" si="21"/>
        <v>Asset Count</v>
      </c>
      <c r="E40" s="41" t="str">
        <f t="shared" si="21"/>
        <v>Current</v>
      </c>
      <c r="F40" s="41" t="str">
        <f t="shared" si="21"/>
        <v>DQ 1-29</v>
      </c>
      <c r="G40" s="41" t="str">
        <f t="shared" si="21"/>
        <v>DQ 30-59</v>
      </c>
      <c r="H40" s="41" t="str">
        <f t="shared" si="21"/>
        <v>DQ 60-89</v>
      </c>
      <c r="I40" s="41" t="str">
        <f t="shared" si="21"/>
        <v>DQ 90+</v>
      </c>
      <c r="J40" s="41" t="str">
        <f t="shared" si="21"/>
        <v>REO</v>
      </c>
      <c r="K40" s="42" t="str">
        <f t="shared" si="21"/>
        <v>Total</v>
      </c>
      <c r="L40" s="41" t="str">
        <f t="shared" si="21"/>
        <v>Total Ex. REO</v>
      </c>
      <c r="N40" s="41" t="str">
        <f>+N$29</f>
        <v>DQ 30+ %</v>
      </c>
      <c r="O40" s="41" t="str">
        <f>+O$29</f>
        <v>DQ 60+ %</v>
      </c>
      <c r="P40" s="41" t="str">
        <f>+P$29</f>
        <v>DQ 90+ %</v>
      </c>
      <c r="Q40" s="41" t="str">
        <f>+Q$29</f>
        <v>REO %</v>
      </c>
    </row>
    <row r="41" spans="2:17" ht="15" customHeight="1" x14ac:dyDescent="0.35">
      <c r="B41" s="38" t="s">
        <v>37</v>
      </c>
      <c r="C41" s="37">
        <f>COUNTIFS('Bridge Loan'!$AN:$AN,'Bridge Summary'!$B41)</f>
        <v>0</v>
      </c>
      <c r="D41" s="37">
        <f>COUNTIFS('Bridge Asset'!$CL:$CL,'Bridge Summary'!$B41)</f>
        <v>0</v>
      </c>
      <c r="E41" s="37">
        <f>SUMIFS('Bridge Asset'!$AJ:$AJ,'Bridge Asset'!$CL:$CL,'Bridge Summary'!$B41,'Bridge Asset'!$CR:$CR,'Bridge Summary'!E$40)</f>
        <v>0</v>
      </c>
      <c r="F41" s="37">
        <f>SUMIFS('Bridge Asset'!$AJ:$AJ,'Bridge Asset'!$CL:$CL,'Bridge Summary'!$B41,'Bridge Asset'!$CR:$CR,'Bridge Summary'!F$40)</f>
        <v>0</v>
      </c>
      <c r="G41" s="37">
        <f>SUMIFS('Bridge Asset'!$AJ:$AJ,'Bridge Asset'!$CL:$CL,'Bridge Summary'!$B41,'Bridge Asset'!$CR:$CR,'Bridge Summary'!G$40)</f>
        <v>0</v>
      </c>
      <c r="H41" s="37">
        <f>SUMIFS('Bridge Asset'!$AJ:$AJ,'Bridge Asset'!$CL:$CL,'Bridge Summary'!$B41,'Bridge Asset'!$CR:$CR,'Bridge Summary'!H$40)</f>
        <v>0</v>
      </c>
      <c r="I41" s="37">
        <f>SUMIFS('Bridge Asset'!$AJ:$AJ,'Bridge Asset'!$CL:$CL,'Bridge Summary'!$B41,'Bridge Asset'!$CR:$CR,'Bridge Summary'!I$40)</f>
        <v>0</v>
      </c>
      <c r="J41" s="37">
        <f>SUMIFS('Bridge Asset'!$AJ:$AJ,'Bridge Asset'!$CL:$CL,'Bridge Summary'!$B41,'Bridge Asset'!$CR:$CR,'Bridge Summary'!J$40)</f>
        <v>0</v>
      </c>
      <c r="K41" s="43">
        <f>SUM($E41:$J41)</f>
        <v>0</v>
      </c>
      <c r="L41" s="37">
        <f>+$K41-$J41</f>
        <v>0</v>
      </c>
      <c r="N41" s="12" t="str">
        <f t="shared" ref="N41:N49" si="22">IFERROR(SUM($G41:$I41)/$L41,"N/A")</f>
        <v>N/A</v>
      </c>
      <c r="O41" s="12" t="str">
        <f t="shared" ref="O41:O49" si="23">IFERROR(SUM($H41:$I41)/$L41,"N/A")</f>
        <v>N/A</v>
      </c>
      <c r="P41" s="12" t="str">
        <f t="shared" ref="P41:P49" si="24">IFERROR($I41/$L41,"N/A")</f>
        <v>N/A</v>
      </c>
      <c r="Q41" s="12" t="str">
        <f t="shared" ref="Q41:Q49" si="25">IFERROR($J41/$K41,"N/A")</f>
        <v>N/A</v>
      </c>
    </row>
    <row r="42" spans="2:17" ht="15" customHeight="1" outlineLevel="1" x14ac:dyDescent="0.35">
      <c r="B42" s="40" t="s">
        <v>42</v>
      </c>
      <c r="C42" s="37">
        <f t="shared" ref="C42:L42" si="26">+C$41-C$34</f>
        <v>0</v>
      </c>
      <c r="D42" s="37">
        <f t="shared" si="26"/>
        <v>0</v>
      </c>
      <c r="E42" s="37">
        <f t="shared" si="26"/>
        <v>0</v>
      </c>
      <c r="F42" s="37">
        <f t="shared" si="26"/>
        <v>0</v>
      </c>
      <c r="G42" s="37">
        <f t="shared" si="26"/>
        <v>0</v>
      </c>
      <c r="H42" s="37">
        <f t="shared" si="26"/>
        <v>0</v>
      </c>
      <c r="I42" s="37">
        <f t="shared" si="26"/>
        <v>0</v>
      </c>
      <c r="J42" s="37">
        <f t="shared" si="26"/>
        <v>0</v>
      </c>
      <c r="K42" s="43">
        <f t="shared" si="26"/>
        <v>0</v>
      </c>
      <c r="L42" s="37">
        <f t="shared" si="26"/>
        <v>0</v>
      </c>
      <c r="N42" s="12" t="str">
        <f t="shared" si="22"/>
        <v>N/A</v>
      </c>
      <c r="O42" s="12" t="str">
        <f t="shared" si="23"/>
        <v>N/A</v>
      </c>
      <c r="P42" s="12" t="str">
        <f t="shared" si="24"/>
        <v>N/A</v>
      </c>
      <c r="Q42" s="12" t="str">
        <f t="shared" si="25"/>
        <v>N/A</v>
      </c>
    </row>
    <row r="43" spans="2:17" x14ac:dyDescent="0.35">
      <c r="B43" s="38" t="s">
        <v>43</v>
      </c>
      <c r="C43" s="37">
        <f>COUNTIFS('Bridge Loan'!$AN:$AN,'Bridge Summary'!$B43)</f>
        <v>0</v>
      </c>
      <c r="D43" s="37">
        <f>COUNTIFS('Bridge Asset'!$CL:$CL,'Bridge Summary'!$B43)</f>
        <v>0</v>
      </c>
      <c r="E43" s="37">
        <f>SUMIFS('Bridge Asset'!$AJ:$AJ,'Bridge Asset'!$CL:$CL,'Bridge Summary'!$B43,'Bridge Asset'!$CR:$CR,'Bridge Summary'!E$40)</f>
        <v>0</v>
      </c>
      <c r="F43" s="37">
        <f>SUMIFS('Bridge Asset'!$AJ:$AJ,'Bridge Asset'!$CL:$CL,'Bridge Summary'!$B43,'Bridge Asset'!$CR:$CR,'Bridge Summary'!F$40)</f>
        <v>0</v>
      </c>
      <c r="G43" s="37">
        <f>SUMIFS('Bridge Asset'!$AJ:$AJ,'Bridge Asset'!$CL:$CL,'Bridge Summary'!$B43,'Bridge Asset'!$CR:$CR,'Bridge Summary'!G$40)</f>
        <v>0</v>
      </c>
      <c r="H43" s="37">
        <f>SUMIFS('Bridge Asset'!$AJ:$AJ,'Bridge Asset'!$CL:$CL,'Bridge Summary'!$B43,'Bridge Asset'!$CR:$CR,'Bridge Summary'!H$40)</f>
        <v>0</v>
      </c>
      <c r="I43" s="37">
        <f>SUMIFS('Bridge Asset'!$AJ:$AJ,'Bridge Asset'!$CL:$CL,'Bridge Summary'!$B43,'Bridge Asset'!$CR:$CR,'Bridge Summary'!I$40)</f>
        <v>0</v>
      </c>
      <c r="J43" s="37">
        <f>SUMIFS('Bridge Asset'!$AJ:$AJ,'Bridge Asset'!$CL:$CL,'Bridge Summary'!$B43,'Bridge Asset'!$CR:$CR,'Bridge Summary'!J$40)</f>
        <v>0</v>
      </c>
      <c r="K43" s="43">
        <f>SUM($E43:$J43)</f>
        <v>0</v>
      </c>
      <c r="L43" s="37">
        <f>+$K43-$J43</f>
        <v>0</v>
      </c>
      <c r="N43" s="12" t="str">
        <f t="shared" si="22"/>
        <v>N/A</v>
      </c>
      <c r="O43" s="12" t="str">
        <f t="shared" si="23"/>
        <v>N/A</v>
      </c>
      <c r="P43" s="12" t="str">
        <f t="shared" si="24"/>
        <v>N/A</v>
      </c>
      <c r="Q43" s="12" t="str">
        <f t="shared" si="25"/>
        <v>N/A</v>
      </c>
    </row>
    <row r="44" spans="2:17" x14ac:dyDescent="0.35">
      <c r="B44" s="38" t="s">
        <v>44</v>
      </c>
      <c r="C44" s="37">
        <f>COUNTIFS('Bridge Loan'!$AN:$AN,'Bridge Summary'!$B44)</f>
        <v>0</v>
      </c>
      <c r="D44" s="37">
        <f>COUNTIFS('Bridge Asset'!$CL:$CL,'Bridge Summary'!$B44)</f>
        <v>0</v>
      </c>
      <c r="E44" s="37">
        <f>SUMIFS('Bridge Asset'!$AJ:$AJ,'Bridge Asset'!$CL:$CL,'Bridge Summary'!$B44,'Bridge Asset'!$CR:$CR,'Bridge Summary'!E$40)</f>
        <v>0</v>
      </c>
      <c r="F44" s="37">
        <f>SUMIFS('Bridge Asset'!$AJ:$AJ,'Bridge Asset'!$CL:$CL,'Bridge Summary'!$B44,'Bridge Asset'!$CR:$CR,'Bridge Summary'!F$40)</f>
        <v>0</v>
      </c>
      <c r="G44" s="37">
        <f>SUMIFS('Bridge Asset'!$AJ:$AJ,'Bridge Asset'!$CL:$CL,'Bridge Summary'!$B44,'Bridge Asset'!$CR:$CR,'Bridge Summary'!G$40)</f>
        <v>0</v>
      </c>
      <c r="H44" s="37">
        <f>SUMIFS('Bridge Asset'!$AJ:$AJ,'Bridge Asset'!$CL:$CL,'Bridge Summary'!$B44,'Bridge Asset'!$CR:$CR,'Bridge Summary'!H$40)</f>
        <v>0</v>
      </c>
      <c r="I44" s="37">
        <f>SUMIFS('Bridge Asset'!$AJ:$AJ,'Bridge Asset'!$CL:$CL,'Bridge Summary'!$B44,'Bridge Asset'!$CR:$CR,'Bridge Summary'!I$40)</f>
        <v>0</v>
      </c>
      <c r="J44" s="37">
        <f>SUMIFS('Bridge Asset'!$AJ:$AJ,'Bridge Asset'!$CL:$CL,'Bridge Summary'!$B44,'Bridge Asset'!$CR:$CR,'Bridge Summary'!J$40)</f>
        <v>0</v>
      </c>
      <c r="K44" s="43">
        <f>SUM($E44:$J44)</f>
        <v>0</v>
      </c>
      <c r="L44" s="37">
        <f>+$K44-$J44</f>
        <v>0</v>
      </c>
      <c r="N44" s="12" t="str">
        <f t="shared" si="22"/>
        <v>N/A</v>
      </c>
      <c r="O44" s="12" t="str">
        <f t="shared" si="23"/>
        <v>N/A</v>
      </c>
      <c r="P44" s="12" t="str">
        <f t="shared" si="24"/>
        <v>N/A</v>
      </c>
      <c r="Q44" s="12" t="str">
        <f t="shared" si="25"/>
        <v>N/A</v>
      </c>
    </row>
    <row r="45" spans="2:17" x14ac:dyDescent="0.35">
      <c r="B45" s="38" t="s">
        <v>45</v>
      </c>
      <c r="C45" s="37">
        <f>COUNTIFS('Bridge Loan'!$AN:$AN,'Bridge Summary'!$B45)</f>
        <v>0</v>
      </c>
      <c r="D45" s="37">
        <f>COUNTIFS('Bridge Asset'!$CL:$CL,'Bridge Summary'!$B45)</f>
        <v>0</v>
      </c>
      <c r="E45" s="37">
        <f>SUMIFS('Bridge Asset'!$AJ:$AJ,'Bridge Asset'!$CL:$CL,'Bridge Summary'!$B45,'Bridge Asset'!$CR:$CR,'Bridge Summary'!E$40)</f>
        <v>0</v>
      </c>
      <c r="F45" s="37">
        <f>SUMIFS('Bridge Asset'!$AJ:$AJ,'Bridge Asset'!$CL:$CL,'Bridge Summary'!$B45,'Bridge Asset'!$CR:$CR,'Bridge Summary'!F$40)</f>
        <v>0</v>
      </c>
      <c r="G45" s="37">
        <f>SUMIFS('Bridge Asset'!$AJ:$AJ,'Bridge Asset'!$CL:$CL,'Bridge Summary'!$B45,'Bridge Asset'!$CR:$CR,'Bridge Summary'!G$40)</f>
        <v>0</v>
      </c>
      <c r="H45" s="37">
        <f>SUMIFS('Bridge Asset'!$AJ:$AJ,'Bridge Asset'!$CL:$CL,'Bridge Summary'!$B45,'Bridge Asset'!$CR:$CR,'Bridge Summary'!H$40)</f>
        <v>0</v>
      </c>
      <c r="I45" s="37">
        <f>SUMIFS('Bridge Asset'!$AJ:$AJ,'Bridge Asset'!$CL:$CL,'Bridge Summary'!$B45,'Bridge Asset'!$CR:$CR,'Bridge Summary'!I$40)</f>
        <v>0</v>
      </c>
      <c r="J45" s="37">
        <f>SUMIFS('Bridge Asset'!$AJ:$AJ,'Bridge Asset'!$CL:$CL,'Bridge Summary'!$B45,'Bridge Asset'!$CR:$CR,'Bridge Summary'!J$40)</f>
        <v>0</v>
      </c>
      <c r="K45" s="43">
        <f>SUM($E45:$J45)</f>
        <v>0</v>
      </c>
      <c r="L45" s="37">
        <f>+$K45-$J45</f>
        <v>0</v>
      </c>
      <c r="N45" s="12" t="str">
        <f t="shared" si="22"/>
        <v>N/A</v>
      </c>
      <c r="O45" s="12" t="str">
        <f t="shared" si="23"/>
        <v>N/A</v>
      </c>
      <c r="P45" s="12" t="str">
        <f t="shared" si="24"/>
        <v>N/A</v>
      </c>
      <c r="Q45" s="12" t="str">
        <f t="shared" si="25"/>
        <v>N/A</v>
      </c>
    </row>
    <row r="46" spans="2:17" x14ac:dyDescent="0.35">
      <c r="B46" s="38" t="s">
        <v>46</v>
      </c>
      <c r="C46" s="37">
        <f>COUNTIFS('Bridge Loan'!$AN:$AN,'Bridge Summary'!$B46)</f>
        <v>0</v>
      </c>
      <c r="D46" s="37">
        <f>COUNTIFS('Bridge Asset'!$CL:$CL,'Bridge Summary'!$B46)</f>
        <v>0</v>
      </c>
      <c r="E46" s="37">
        <f>SUMIFS('Bridge Asset'!$AJ:$AJ,'Bridge Asset'!$CL:$CL,'Bridge Summary'!$B46,'Bridge Asset'!$CR:$CR,'Bridge Summary'!E$40)</f>
        <v>0</v>
      </c>
      <c r="F46" s="37">
        <f>SUMIFS('Bridge Asset'!$AJ:$AJ,'Bridge Asset'!$CL:$CL,'Bridge Summary'!$B46,'Bridge Asset'!$CR:$CR,'Bridge Summary'!F$40)</f>
        <v>0</v>
      </c>
      <c r="G46" s="37">
        <f>SUMIFS('Bridge Asset'!$AJ:$AJ,'Bridge Asset'!$CL:$CL,'Bridge Summary'!$B46,'Bridge Asset'!$CR:$CR,'Bridge Summary'!G$40)</f>
        <v>0</v>
      </c>
      <c r="H46" s="37">
        <f>SUMIFS('Bridge Asset'!$AJ:$AJ,'Bridge Asset'!$CL:$CL,'Bridge Summary'!$B46,'Bridge Asset'!$CR:$CR,'Bridge Summary'!H$40)</f>
        <v>0</v>
      </c>
      <c r="I46" s="37">
        <f>SUMIFS('Bridge Asset'!$AJ:$AJ,'Bridge Asset'!$CL:$CL,'Bridge Summary'!$B46,'Bridge Asset'!$CR:$CR,'Bridge Summary'!I$40)</f>
        <v>0</v>
      </c>
      <c r="J46" s="37">
        <f>SUMIFS('Bridge Asset'!$AJ:$AJ,'Bridge Asset'!$CL:$CL,'Bridge Summary'!$B46,'Bridge Asset'!$CR:$CR,'Bridge Summary'!J$40)</f>
        <v>0</v>
      </c>
      <c r="K46" s="43">
        <f>SUM($E46:$J46)</f>
        <v>0</v>
      </c>
      <c r="L46" s="37">
        <f>+$K46-$J46</f>
        <v>0</v>
      </c>
      <c r="N46" s="12" t="str">
        <f t="shared" si="22"/>
        <v>N/A</v>
      </c>
      <c r="O46" s="12" t="str">
        <f t="shared" si="23"/>
        <v>N/A</v>
      </c>
      <c r="P46" s="12" t="str">
        <f t="shared" si="24"/>
        <v>N/A</v>
      </c>
      <c r="Q46" s="12" t="str">
        <f t="shared" si="25"/>
        <v>N/A</v>
      </c>
    </row>
    <row r="47" spans="2:17" x14ac:dyDescent="0.35">
      <c r="B47" s="38" t="s">
        <v>47</v>
      </c>
      <c r="C47" s="37">
        <f>COUNTIFS('Bridge Loan'!$AN:$AN,'Bridge Summary'!$B47)</f>
        <v>0</v>
      </c>
      <c r="D47" s="37">
        <f>COUNTIFS('Bridge Asset'!$CL:$CL,'Bridge Summary'!$B47)</f>
        <v>0</v>
      </c>
      <c r="E47" s="37">
        <f>SUMIFS('Bridge Asset'!$AJ:$AJ,'Bridge Asset'!$CL:$CL,'Bridge Summary'!$B47,'Bridge Asset'!$CR:$CR,'Bridge Summary'!E$40)</f>
        <v>0</v>
      </c>
      <c r="F47" s="37">
        <f>SUMIFS('Bridge Asset'!$AJ:$AJ,'Bridge Asset'!$CL:$CL,'Bridge Summary'!$B47,'Bridge Asset'!$CR:$CR,'Bridge Summary'!F$40)</f>
        <v>0</v>
      </c>
      <c r="G47" s="37">
        <f>SUMIFS('Bridge Asset'!$AJ:$AJ,'Bridge Asset'!$CL:$CL,'Bridge Summary'!$B47,'Bridge Asset'!$CR:$CR,'Bridge Summary'!G$40)</f>
        <v>0</v>
      </c>
      <c r="H47" s="37">
        <f>SUMIFS('Bridge Asset'!$AJ:$AJ,'Bridge Asset'!$CL:$CL,'Bridge Summary'!$B47,'Bridge Asset'!$CR:$CR,'Bridge Summary'!H$40)</f>
        <v>0</v>
      </c>
      <c r="I47" s="37">
        <f>SUMIFS('Bridge Asset'!$AJ:$AJ,'Bridge Asset'!$CL:$CL,'Bridge Summary'!$B47,'Bridge Asset'!$CR:$CR,'Bridge Summary'!I$40)</f>
        <v>0</v>
      </c>
      <c r="J47" s="37">
        <f>SUMIFS('Bridge Asset'!$AJ:$AJ,'Bridge Asset'!$CL:$CL,'Bridge Summary'!$B47,'Bridge Asset'!$CR:$CR,'Bridge Summary'!J$40)</f>
        <v>0</v>
      </c>
      <c r="K47" s="43">
        <f>SUM($E47:$J47)</f>
        <v>0</v>
      </c>
      <c r="L47" s="37">
        <f>+$K47-$J47</f>
        <v>0</v>
      </c>
      <c r="N47" s="12" t="str">
        <f t="shared" si="22"/>
        <v>N/A</v>
      </c>
      <c r="O47" s="12" t="str">
        <f t="shared" si="23"/>
        <v>N/A</v>
      </c>
      <c r="P47" s="12" t="str">
        <f t="shared" si="24"/>
        <v>N/A</v>
      </c>
      <c r="Q47" s="12" t="str">
        <f t="shared" si="25"/>
        <v>N/A</v>
      </c>
    </row>
    <row r="48" spans="2:17" x14ac:dyDescent="0.35">
      <c r="B48" s="45" t="s">
        <v>30</v>
      </c>
      <c r="C48" s="46">
        <f t="shared" ref="C48:L48" si="27">SUM(C$41:C$47)-C$42</f>
        <v>0</v>
      </c>
      <c r="D48" s="46">
        <f t="shared" si="27"/>
        <v>0</v>
      </c>
      <c r="E48" s="46">
        <f t="shared" si="27"/>
        <v>0</v>
      </c>
      <c r="F48" s="46">
        <f t="shared" si="27"/>
        <v>0</v>
      </c>
      <c r="G48" s="46">
        <f t="shared" si="27"/>
        <v>0</v>
      </c>
      <c r="H48" s="46">
        <f t="shared" si="27"/>
        <v>0</v>
      </c>
      <c r="I48" s="46">
        <f t="shared" si="27"/>
        <v>0</v>
      </c>
      <c r="J48" s="46">
        <f t="shared" si="27"/>
        <v>0</v>
      </c>
      <c r="K48" s="47">
        <f t="shared" si="27"/>
        <v>0</v>
      </c>
      <c r="L48" s="48">
        <f t="shared" si="27"/>
        <v>0</v>
      </c>
      <c r="N48" s="54" t="str">
        <f t="shared" si="22"/>
        <v>N/A</v>
      </c>
      <c r="O48" s="16" t="str">
        <f t="shared" si="23"/>
        <v>N/A</v>
      </c>
      <c r="P48" s="16" t="str">
        <f t="shared" si="24"/>
        <v>N/A</v>
      </c>
      <c r="Q48" s="55" t="str">
        <f t="shared" si="25"/>
        <v>N/A</v>
      </c>
    </row>
    <row r="49" spans="2:17" x14ac:dyDescent="0.35">
      <c r="B49" s="45" t="s">
        <v>31</v>
      </c>
      <c r="C49" s="46">
        <f t="shared" ref="C49:L49" si="28">+C$48-C$34</f>
        <v>0</v>
      </c>
      <c r="D49" s="46">
        <f t="shared" si="28"/>
        <v>0</v>
      </c>
      <c r="E49" s="46">
        <f t="shared" si="28"/>
        <v>0</v>
      </c>
      <c r="F49" s="46">
        <f t="shared" si="28"/>
        <v>0</v>
      </c>
      <c r="G49" s="46">
        <f t="shared" si="28"/>
        <v>0</v>
      </c>
      <c r="H49" s="46">
        <f t="shared" si="28"/>
        <v>0</v>
      </c>
      <c r="I49" s="46">
        <f t="shared" si="28"/>
        <v>0</v>
      </c>
      <c r="J49" s="46">
        <f t="shared" si="28"/>
        <v>0</v>
      </c>
      <c r="K49" s="47">
        <f t="shared" si="28"/>
        <v>0</v>
      </c>
      <c r="L49" s="48">
        <f t="shared" si="28"/>
        <v>0</v>
      </c>
      <c r="N49" s="13" t="str">
        <f t="shared" si="22"/>
        <v>N/A</v>
      </c>
      <c r="O49" s="14" t="str">
        <f t="shared" si="23"/>
        <v>N/A</v>
      </c>
      <c r="P49" s="14" t="str">
        <f t="shared" si="24"/>
        <v>N/A</v>
      </c>
      <c r="Q49" s="15" t="str">
        <f t="shared" si="25"/>
        <v>N/A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2:Q35"/>
  <sheetViews>
    <sheetView showGridLines="0" zoomScale="85" zoomScaleNormal="85" workbookViewId="0"/>
  </sheetViews>
  <sheetFormatPr defaultRowHeight="14.5" outlineLevelRow="1" x14ac:dyDescent="0.35"/>
  <cols>
    <col min="2" max="2" width="21.54296875" customWidth="1"/>
    <col min="3" max="12" width="17.26953125" customWidth="1"/>
    <col min="14" max="17" width="11.7265625" customWidth="1"/>
  </cols>
  <sheetData>
    <row r="2" spans="2:17" ht="23.5" customHeight="1" x14ac:dyDescent="0.55000000000000004">
      <c r="B2" s="58" t="s">
        <v>48</v>
      </c>
    </row>
    <row r="4" spans="2:17" x14ac:dyDescent="0.35">
      <c r="B4" s="38" t="s">
        <v>1</v>
      </c>
    </row>
    <row r="5" spans="2:17" ht="22.5" customHeight="1" x14ac:dyDescent="0.35">
      <c r="B5" s="41"/>
      <c r="C5" s="41" t="s">
        <v>2</v>
      </c>
      <c r="D5" s="41" t="s">
        <v>3</v>
      </c>
      <c r="E5" s="41" t="s">
        <v>4</v>
      </c>
      <c r="F5" s="41" t="s">
        <v>5</v>
      </c>
      <c r="G5" s="41" t="s">
        <v>6</v>
      </c>
      <c r="H5" s="41" t="s">
        <v>7</v>
      </c>
      <c r="I5" s="41" t="s">
        <v>8</v>
      </c>
      <c r="J5" s="41" t="s">
        <v>9</v>
      </c>
      <c r="K5" s="42" t="s">
        <v>10</v>
      </c>
      <c r="L5" s="41" t="s">
        <v>11</v>
      </c>
      <c r="N5" s="41" t="s">
        <v>12</v>
      </c>
      <c r="O5" s="41" t="s">
        <v>13</v>
      </c>
      <c r="P5" s="41" t="s">
        <v>14</v>
      </c>
      <c r="Q5" s="41" t="s">
        <v>15</v>
      </c>
    </row>
    <row r="6" spans="2:17" ht="15" customHeight="1" thickBot="1" x14ac:dyDescent="0.4">
      <c r="B6" s="38" t="s">
        <v>16</v>
      </c>
      <c r="C6" s="37">
        <f>COUNTIFS('Term Loan'!$K:$K,'Term Summary'!$B6)</f>
        <v>0</v>
      </c>
      <c r="D6" s="37">
        <f>COUNTIFS('Term Asset'!$E:$E,'Term Summary'!$B6)</f>
        <v>0</v>
      </c>
      <c r="E6" s="37">
        <f>SUMIFS('Term Loan'!$P:$P,'Term Loan'!$K:$K,'Term Summary'!$B6,'Term Loan'!$V:$V,'Term Summary'!E$5)</f>
        <v>0</v>
      </c>
      <c r="F6" s="37">
        <f>SUMIFS('Term Loan'!$P:$P,'Term Loan'!$K:$K,'Term Summary'!$B6,'Term Loan'!$V:$V,'Term Summary'!F$5)</f>
        <v>0</v>
      </c>
      <c r="G6" s="37">
        <f>SUMIFS('Term Loan'!$P:$P,'Term Loan'!$K:$K,'Term Summary'!$B6,'Term Loan'!$V:$V,'Term Summary'!G$5)</f>
        <v>0</v>
      </c>
      <c r="H6" s="37">
        <f>SUMIFS('Term Loan'!$P:$P,'Term Loan'!$K:$K,'Term Summary'!$B6,'Term Loan'!$V:$V,'Term Summary'!H$5)</f>
        <v>0</v>
      </c>
      <c r="I6" s="37">
        <f>SUMIFS('Term Loan'!$P:$P,'Term Loan'!$K:$K,'Term Summary'!$B6,'Term Loan'!$V:$V,'Term Summary'!I$5)</f>
        <v>0</v>
      </c>
      <c r="J6" s="37">
        <f>SUMIFS('Term Loan'!$P:$P,'Term Loan'!$K:$K,'Term Summary'!$B6,'Term Loan'!$V:$V,'Term Summary'!J$5)</f>
        <v>0</v>
      </c>
      <c r="K6" s="43">
        <f t="shared" ref="K6:K29" si="0">SUM($E6:$J6)</f>
        <v>0</v>
      </c>
      <c r="L6" s="37">
        <f t="shared" ref="L6:L29" si="1">+$K6-$J6</f>
        <v>0</v>
      </c>
      <c r="N6" s="12" t="str">
        <f t="shared" ref="N6:N31" si="2">IFERROR(SUM($G6:$I6)/$L6,"N/A")</f>
        <v>N/A</v>
      </c>
      <c r="O6" s="12" t="str">
        <f t="shared" ref="O6:O31" si="3">IFERROR(SUM($H6:$I6)/$L6,"N/A")</f>
        <v>N/A</v>
      </c>
      <c r="P6" s="12" t="str">
        <f t="shared" ref="P6:P31" si="4">IFERROR($I6/$L6,"N/A")</f>
        <v>N/A</v>
      </c>
      <c r="Q6" s="12" t="str">
        <f t="shared" ref="Q6:Q31" si="5">IFERROR($J6/$K6,"N/A")</f>
        <v>N/A</v>
      </c>
    </row>
    <row r="7" spans="2:17" ht="15" customHeight="1" thickBot="1" x14ac:dyDescent="0.4">
      <c r="B7" s="38" t="s">
        <v>49</v>
      </c>
      <c r="C7" s="37">
        <f t="shared" ref="C7:J7" si="6">SUM(C$8:C$24)</f>
        <v>0</v>
      </c>
      <c r="D7" s="37">
        <f t="shared" si="6"/>
        <v>0</v>
      </c>
      <c r="E7" s="37">
        <f t="shared" si="6"/>
        <v>0</v>
      </c>
      <c r="F7" s="37">
        <f t="shared" si="6"/>
        <v>0</v>
      </c>
      <c r="G7" s="37">
        <f t="shared" si="6"/>
        <v>0</v>
      </c>
      <c r="H7" s="37">
        <f t="shared" si="6"/>
        <v>0</v>
      </c>
      <c r="I7" s="37">
        <f t="shared" si="6"/>
        <v>0</v>
      </c>
      <c r="J7" s="37">
        <f t="shared" si="6"/>
        <v>0</v>
      </c>
      <c r="K7" s="43">
        <f t="shared" si="0"/>
        <v>0</v>
      </c>
      <c r="L7" s="37">
        <f t="shared" si="1"/>
        <v>0</v>
      </c>
      <c r="N7" s="12" t="str">
        <f t="shared" si="2"/>
        <v>N/A</v>
      </c>
      <c r="O7" s="12" t="str">
        <f t="shared" si="3"/>
        <v>N/A</v>
      </c>
      <c r="P7" s="22" t="str">
        <f t="shared" si="4"/>
        <v>N/A</v>
      </c>
      <c r="Q7" s="12" t="str">
        <f t="shared" si="5"/>
        <v>N/A</v>
      </c>
    </row>
    <row r="8" spans="2:17" outlineLevel="1" x14ac:dyDescent="0.35">
      <c r="B8" s="39" t="s">
        <v>50</v>
      </c>
      <c r="C8" s="26">
        <f>COUNTIFS('Term Loan'!$K:$K,'Term Summary'!$B$7,'Term Loan'!$L:$L,'Term Summary'!$B8)</f>
        <v>0</v>
      </c>
      <c r="D8" s="26">
        <f>COUNTIFS('Term Asset'!$E:$E,'Term Summary'!$B$7,'Term Asset'!$F:$F,'Term Summary'!$B8)</f>
        <v>0</v>
      </c>
      <c r="E8" s="26">
        <f>SUMIFS('Term Loan'!$P:$P,'Term Loan'!$K:$K,'Term Summary'!$B$7,'Term Loan'!$L:$L,'Term Summary'!$B8,'Term Loan'!$V:$V,'Term Summary'!E$5)</f>
        <v>0</v>
      </c>
      <c r="F8" s="26">
        <f>SUMIFS('Term Loan'!$P:$P,'Term Loan'!$K:$K,'Term Summary'!$B$7,'Term Loan'!$L:$L,'Term Summary'!$B8,'Term Loan'!$V:$V,'Term Summary'!F$5)</f>
        <v>0</v>
      </c>
      <c r="G8" s="26">
        <f>SUMIFS('Term Loan'!$P:$P,'Term Loan'!$K:$K,'Term Summary'!$B$7,'Term Loan'!$L:$L,'Term Summary'!$B8,'Term Loan'!$V:$V,'Term Summary'!G$5)</f>
        <v>0</v>
      </c>
      <c r="H8" s="26">
        <f>SUMIFS('Term Loan'!$P:$P,'Term Loan'!$K:$K,'Term Summary'!$B$7,'Term Loan'!$L:$L,'Term Summary'!$B8,'Term Loan'!$V:$V,'Term Summary'!H$5)</f>
        <v>0</v>
      </c>
      <c r="I8" s="26">
        <f>SUMIFS('Term Loan'!$P:$P,'Term Loan'!$K:$K,'Term Summary'!$B$7,'Term Loan'!$L:$L,'Term Summary'!$B8,'Term Loan'!$V:$V,'Term Summary'!I$5)</f>
        <v>0</v>
      </c>
      <c r="J8" s="26">
        <f>SUMIFS('Term Loan'!$P:$P,'Term Loan'!$K:$K,'Term Summary'!$B$7,'Term Loan'!$L:$L,'Term Summary'!$B8,'Term Loan'!$V:$V,'Term Summary'!J$5)</f>
        <v>0</v>
      </c>
      <c r="K8" s="44">
        <f t="shared" si="0"/>
        <v>0</v>
      </c>
      <c r="L8" s="26">
        <f t="shared" si="1"/>
        <v>0</v>
      </c>
      <c r="N8" s="12" t="str">
        <f t="shared" si="2"/>
        <v>N/A</v>
      </c>
      <c r="O8" s="12" t="str">
        <f t="shared" si="3"/>
        <v>N/A</v>
      </c>
      <c r="P8" s="12" t="str">
        <f t="shared" si="4"/>
        <v>N/A</v>
      </c>
      <c r="Q8" s="12" t="str">
        <f t="shared" si="5"/>
        <v>N/A</v>
      </c>
    </row>
    <row r="9" spans="2:17" outlineLevel="1" x14ac:dyDescent="0.35">
      <c r="B9" s="39" t="s">
        <v>51</v>
      </c>
      <c r="C9" s="26">
        <f>COUNTIFS('Term Loan'!$K:$K,'Term Summary'!$B$7,'Term Loan'!$L:$L,'Term Summary'!$B9)</f>
        <v>0</v>
      </c>
      <c r="D9" s="26">
        <f>COUNTIFS('Term Asset'!$E:$E,'Term Summary'!$B$7,'Term Asset'!$F:$F,'Term Summary'!$B9)</f>
        <v>0</v>
      </c>
      <c r="E9" s="26">
        <f>SUMIFS('Term Loan'!$P:$P,'Term Loan'!$K:$K,'Term Summary'!$B$7,'Term Loan'!$L:$L,'Term Summary'!$B9,'Term Loan'!$V:$V,'Term Summary'!E$5)</f>
        <v>0</v>
      </c>
      <c r="F9" s="26">
        <f>SUMIFS('Term Loan'!$P:$P,'Term Loan'!$K:$K,'Term Summary'!$B$7,'Term Loan'!$L:$L,'Term Summary'!$B9,'Term Loan'!$V:$V,'Term Summary'!F$5)</f>
        <v>0</v>
      </c>
      <c r="G9" s="26">
        <f>SUMIFS('Term Loan'!$P:$P,'Term Loan'!$K:$K,'Term Summary'!$B$7,'Term Loan'!$L:$L,'Term Summary'!$B9,'Term Loan'!$V:$V,'Term Summary'!G$5)</f>
        <v>0</v>
      </c>
      <c r="H9" s="26">
        <f>SUMIFS('Term Loan'!$P:$P,'Term Loan'!$K:$K,'Term Summary'!$B$7,'Term Loan'!$L:$L,'Term Summary'!$B9,'Term Loan'!$V:$V,'Term Summary'!H$5)</f>
        <v>0</v>
      </c>
      <c r="I9" s="26">
        <f>SUMIFS('Term Loan'!$P:$P,'Term Loan'!$K:$K,'Term Summary'!$B$7,'Term Loan'!$L:$L,'Term Summary'!$B9,'Term Loan'!$V:$V,'Term Summary'!I$5)</f>
        <v>0</v>
      </c>
      <c r="J9" s="26">
        <f>SUMIFS('Term Loan'!$P:$P,'Term Loan'!$K:$K,'Term Summary'!$B$7,'Term Loan'!$L:$L,'Term Summary'!$B9,'Term Loan'!$V:$V,'Term Summary'!J$5)</f>
        <v>0</v>
      </c>
      <c r="K9" s="44">
        <f t="shared" si="0"/>
        <v>0</v>
      </c>
      <c r="L9" s="26">
        <f t="shared" si="1"/>
        <v>0</v>
      </c>
      <c r="N9" s="12" t="str">
        <f t="shared" si="2"/>
        <v>N/A</v>
      </c>
      <c r="O9" s="12" t="str">
        <f t="shared" si="3"/>
        <v>N/A</v>
      </c>
      <c r="P9" s="12" t="str">
        <f t="shared" si="4"/>
        <v>N/A</v>
      </c>
      <c r="Q9" s="12" t="str">
        <f t="shared" si="5"/>
        <v>N/A</v>
      </c>
    </row>
    <row r="10" spans="2:17" outlineLevel="1" x14ac:dyDescent="0.35">
      <c r="B10" s="39" t="s">
        <v>52</v>
      </c>
      <c r="C10" s="26">
        <f>COUNTIFS('Term Loan'!$K:$K,'Term Summary'!$B$7,'Term Loan'!$L:$L,'Term Summary'!$B10)</f>
        <v>0</v>
      </c>
      <c r="D10" s="26">
        <f>COUNTIFS('Term Asset'!$E:$E,'Term Summary'!$B$7,'Term Asset'!$F:$F,'Term Summary'!$B10)</f>
        <v>0</v>
      </c>
      <c r="E10" s="26">
        <f>SUMIFS('Term Loan'!$P:$P,'Term Loan'!$K:$K,'Term Summary'!$B$7,'Term Loan'!$L:$L,'Term Summary'!$B10,'Term Loan'!$V:$V,'Term Summary'!E$5)</f>
        <v>0</v>
      </c>
      <c r="F10" s="26">
        <f>SUMIFS('Term Loan'!$P:$P,'Term Loan'!$K:$K,'Term Summary'!$B$7,'Term Loan'!$L:$L,'Term Summary'!$B10,'Term Loan'!$V:$V,'Term Summary'!F$5)</f>
        <v>0</v>
      </c>
      <c r="G10" s="26">
        <f>SUMIFS('Term Loan'!$P:$P,'Term Loan'!$K:$K,'Term Summary'!$B$7,'Term Loan'!$L:$L,'Term Summary'!$B10,'Term Loan'!$V:$V,'Term Summary'!G$5)</f>
        <v>0</v>
      </c>
      <c r="H10" s="26">
        <f>SUMIFS('Term Loan'!$P:$P,'Term Loan'!$K:$K,'Term Summary'!$B$7,'Term Loan'!$L:$L,'Term Summary'!$B10,'Term Loan'!$V:$V,'Term Summary'!H$5)</f>
        <v>0</v>
      </c>
      <c r="I10" s="26">
        <f>SUMIFS('Term Loan'!$P:$P,'Term Loan'!$K:$K,'Term Summary'!$B$7,'Term Loan'!$L:$L,'Term Summary'!$B10,'Term Loan'!$V:$V,'Term Summary'!I$5)</f>
        <v>0</v>
      </c>
      <c r="J10" s="26">
        <f>SUMIFS('Term Loan'!$P:$P,'Term Loan'!$K:$K,'Term Summary'!$B$7,'Term Loan'!$L:$L,'Term Summary'!$B10,'Term Loan'!$V:$V,'Term Summary'!J$5)</f>
        <v>0</v>
      </c>
      <c r="K10" s="44">
        <f t="shared" si="0"/>
        <v>0</v>
      </c>
      <c r="L10" s="26">
        <f t="shared" si="1"/>
        <v>0</v>
      </c>
      <c r="N10" s="12" t="str">
        <f t="shared" si="2"/>
        <v>N/A</v>
      </c>
      <c r="O10" s="12" t="str">
        <f t="shared" si="3"/>
        <v>N/A</v>
      </c>
      <c r="P10" s="12" t="str">
        <f t="shared" si="4"/>
        <v>N/A</v>
      </c>
      <c r="Q10" s="12" t="str">
        <f t="shared" si="5"/>
        <v>N/A</v>
      </c>
    </row>
    <row r="11" spans="2:17" outlineLevel="1" x14ac:dyDescent="0.35">
      <c r="B11" s="39" t="s">
        <v>53</v>
      </c>
      <c r="C11" s="26">
        <f>COUNTIFS('Term Loan'!$K:$K,'Term Summary'!$B$7,'Term Loan'!$L:$L,'Term Summary'!$B11)</f>
        <v>0</v>
      </c>
      <c r="D11" s="26">
        <f>COUNTIFS('Term Asset'!$E:$E,'Term Summary'!$B$7,'Term Asset'!$F:$F,'Term Summary'!$B11)</f>
        <v>0</v>
      </c>
      <c r="E11" s="26">
        <f>SUMIFS('Term Loan'!$P:$P,'Term Loan'!$K:$K,'Term Summary'!$B$7,'Term Loan'!$L:$L,'Term Summary'!$B11,'Term Loan'!$V:$V,'Term Summary'!E$5)</f>
        <v>0</v>
      </c>
      <c r="F11" s="26">
        <f>SUMIFS('Term Loan'!$P:$P,'Term Loan'!$K:$K,'Term Summary'!$B$7,'Term Loan'!$L:$L,'Term Summary'!$B11,'Term Loan'!$V:$V,'Term Summary'!F$5)</f>
        <v>0</v>
      </c>
      <c r="G11" s="26">
        <f>SUMIFS('Term Loan'!$P:$P,'Term Loan'!$K:$K,'Term Summary'!$B$7,'Term Loan'!$L:$L,'Term Summary'!$B11,'Term Loan'!$V:$V,'Term Summary'!G$5)</f>
        <v>0</v>
      </c>
      <c r="H11" s="26">
        <f>SUMIFS('Term Loan'!$P:$P,'Term Loan'!$K:$K,'Term Summary'!$B$7,'Term Loan'!$L:$L,'Term Summary'!$B11,'Term Loan'!$V:$V,'Term Summary'!H$5)</f>
        <v>0</v>
      </c>
      <c r="I11" s="26">
        <f>SUMIFS('Term Loan'!$P:$P,'Term Loan'!$K:$K,'Term Summary'!$B$7,'Term Loan'!$L:$L,'Term Summary'!$B11,'Term Loan'!$V:$V,'Term Summary'!I$5)</f>
        <v>0</v>
      </c>
      <c r="J11" s="26">
        <f>SUMIFS('Term Loan'!$P:$P,'Term Loan'!$K:$K,'Term Summary'!$B$7,'Term Loan'!$L:$L,'Term Summary'!$B11,'Term Loan'!$V:$V,'Term Summary'!J$5)</f>
        <v>0</v>
      </c>
      <c r="K11" s="44">
        <f t="shared" si="0"/>
        <v>0</v>
      </c>
      <c r="L11" s="26">
        <f t="shared" si="1"/>
        <v>0</v>
      </c>
      <c r="N11" s="12" t="str">
        <f t="shared" si="2"/>
        <v>N/A</v>
      </c>
      <c r="O11" s="12" t="str">
        <f t="shared" si="3"/>
        <v>N/A</v>
      </c>
      <c r="P11" s="12" t="str">
        <f t="shared" si="4"/>
        <v>N/A</v>
      </c>
      <c r="Q11" s="12" t="str">
        <f t="shared" si="5"/>
        <v>N/A</v>
      </c>
    </row>
    <row r="12" spans="2:17" outlineLevel="1" x14ac:dyDescent="0.35">
      <c r="B12" s="39" t="s">
        <v>54</v>
      </c>
      <c r="C12" s="26">
        <f>COUNTIFS('Term Loan'!$K:$K,'Term Summary'!$B$7,'Term Loan'!$L:$L,'Term Summary'!$B12)</f>
        <v>0</v>
      </c>
      <c r="D12" s="26">
        <f>COUNTIFS('Term Asset'!$E:$E,'Term Summary'!$B$7,'Term Asset'!$F:$F,'Term Summary'!$B12)</f>
        <v>0</v>
      </c>
      <c r="E12" s="26">
        <f>SUMIFS('Term Loan'!$P:$P,'Term Loan'!$K:$K,'Term Summary'!$B$7,'Term Loan'!$L:$L,'Term Summary'!$B12,'Term Loan'!$V:$V,'Term Summary'!E$5)</f>
        <v>0</v>
      </c>
      <c r="F12" s="26">
        <f>SUMIFS('Term Loan'!$P:$P,'Term Loan'!$K:$K,'Term Summary'!$B$7,'Term Loan'!$L:$L,'Term Summary'!$B12,'Term Loan'!$V:$V,'Term Summary'!F$5)</f>
        <v>0</v>
      </c>
      <c r="G12" s="26">
        <f>SUMIFS('Term Loan'!$P:$P,'Term Loan'!$K:$K,'Term Summary'!$B$7,'Term Loan'!$L:$L,'Term Summary'!$B12,'Term Loan'!$V:$V,'Term Summary'!G$5)</f>
        <v>0</v>
      </c>
      <c r="H12" s="26">
        <f>SUMIFS('Term Loan'!$P:$P,'Term Loan'!$K:$K,'Term Summary'!$B$7,'Term Loan'!$L:$L,'Term Summary'!$B12,'Term Loan'!$V:$V,'Term Summary'!H$5)</f>
        <v>0</v>
      </c>
      <c r="I12" s="26">
        <f>SUMIFS('Term Loan'!$P:$P,'Term Loan'!$K:$K,'Term Summary'!$B$7,'Term Loan'!$L:$L,'Term Summary'!$B12,'Term Loan'!$V:$V,'Term Summary'!I$5)</f>
        <v>0</v>
      </c>
      <c r="J12" s="26">
        <f>SUMIFS('Term Loan'!$P:$P,'Term Loan'!$K:$K,'Term Summary'!$B$7,'Term Loan'!$L:$L,'Term Summary'!$B12,'Term Loan'!$V:$V,'Term Summary'!J$5)</f>
        <v>0</v>
      </c>
      <c r="K12" s="44">
        <f t="shared" si="0"/>
        <v>0</v>
      </c>
      <c r="L12" s="26">
        <f t="shared" si="1"/>
        <v>0</v>
      </c>
      <c r="N12" s="12" t="str">
        <f t="shared" si="2"/>
        <v>N/A</v>
      </c>
      <c r="O12" s="12" t="str">
        <f t="shared" si="3"/>
        <v>N/A</v>
      </c>
      <c r="P12" s="12" t="str">
        <f t="shared" si="4"/>
        <v>N/A</v>
      </c>
      <c r="Q12" s="12" t="str">
        <f t="shared" si="5"/>
        <v>N/A</v>
      </c>
    </row>
    <row r="13" spans="2:17" outlineLevel="1" x14ac:dyDescent="0.35">
      <c r="B13" s="39" t="s">
        <v>55</v>
      </c>
      <c r="C13" s="26">
        <f>COUNTIFS('Term Loan'!$K:$K,'Term Summary'!$B$7,'Term Loan'!$L:$L,'Term Summary'!$B13)</f>
        <v>0</v>
      </c>
      <c r="D13" s="26">
        <f>COUNTIFS('Term Asset'!$E:$E,'Term Summary'!$B$7,'Term Asset'!$F:$F,'Term Summary'!$B13)</f>
        <v>0</v>
      </c>
      <c r="E13" s="26">
        <f>SUMIFS('Term Loan'!$P:$P,'Term Loan'!$K:$K,'Term Summary'!$B$7,'Term Loan'!$L:$L,'Term Summary'!$B13,'Term Loan'!$V:$V,'Term Summary'!E$5)</f>
        <v>0</v>
      </c>
      <c r="F13" s="26">
        <f>SUMIFS('Term Loan'!$P:$P,'Term Loan'!$K:$K,'Term Summary'!$B$7,'Term Loan'!$L:$L,'Term Summary'!$B13,'Term Loan'!$V:$V,'Term Summary'!F$5)</f>
        <v>0</v>
      </c>
      <c r="G13" s="26">
        <f>SUMIFS('Term Loan'!$P:$P,'Term Loan'!$K:$K,'Term Summary'!$B$7,'Term Loan'!$L:$L,'Term Summary'!$B13,'Term Loan'!$V:$V,'Term Summary'!G$5)</f>
        <v>0</v>
      </c>
      <c r="H13" s="26">
        <f>SUMIFS('Term Loan'!$P:$P,'Term Loan'!$K:$K,'Term Summary'!$B$7,'Term Loan'!$L:$L,'Term Summary'!$B13,'Term Loan'!$V:$V,'Term Summary'!H$5)</f>
        <v>0</v>
      </c>
      <c r="I13" s="26">
        <f>SUMIFS('Term Loan'!$P:$P,'Term Loan'!$K:$K,'Term Summary'!$B$7,'Term Loan'!$L:$L,'Term Summary'!$B13,'Term Loan'!$V:$V,'Term Summary'!I$5)</f>
        <v>0</v>
      </c>
      <c r="J13" s="26">
        <f>SUMIFS('Term Loan'!$P:$P,'Term Loan'!$K:$K,'Term Summary'!$B$7,'Term Loan'!$L:$L,'Term Summary'!$B13,'Term Loan'!$V:$V,'Term Summary'!J$5)</f>
        <v>0</v>
      </c>
      <c r="K13" s="44">
        <f t="shared" si="0"/>
        <v>0</v>
      </c>
      <c r="L13" s="26">
        <f t="shared" si="1"/>
        <v>0</v>
      </c>
      <c r="N13" s="12" t="str">
        <f t="shared" si="2"/>
        <v>N/A</v>
      </c>
      <c r="O13" s="12" t="str">
        <f t="shared" si="3"/>
        <v>N/A</v>
      </c>
      <c r="P13" s="12" t="str">
        <f t="shared" si="4"/>
        <v>N/A</v>
      </c>
      <c r="Q13" s="12" t="str">
        <f t="shared" si="5"/>
        <v>N/A</v>
      </c>
    </row>
    <row r="14" spans="2:17" outlineLevel="1" x14ac:dyDescent="0.35">
      <c r="B14" s="39" t="s">
        <v>56</v>
      </c>
      <c r="C14" s="26">
        <f>COUNTIFS('Term Loan'!$K:$K,'Term Summary'!$B$7,'Term Loan'!$L:$L,'Term Summary'!$B14)</f>
        <v>0</v>
      </c>
      <c r="D14" s="26">
        <f>COUNTIFS('Term Asset'!$E:$E,'Term Summary'!$B$7,'Term Asset'!$F:$F,'Term Summary'!$B14)</f>
        <v>0</v>
      </c>
      <c r="E14" s="26">
        <f>SUMIFS('Term Loan'!$P:$P,'Term Loan'!$K:$K,'Term Summary'!$B$7,'Term Loan'!$L:$L,'Term Summary'!$B14,'Term Loan'!$V:$V,'Term Summary'!E$5)</f>
        <v>0</v>
      </c>
      <c r="F14" s="26">
        <f>SUMIFS('Term Loan'!$P:$P,'Term Loan'!$K:$K,'Term Summary'!$B$7,'Term Loan'!$L:$L,'Term Summary'!$B14,'Term Loan'!$V:$V,'Term Summary'!F$5)</f>
        <v>0</v>
      </c>
      <c r="G14" s="26">
        <f>SUMIFS('Term Loan'!$P:$P,'Term Loan'!$K:$K,'Term Summary'!$B$7,'Term Loan'!$L:$L,'Term Summary'!$B14,'Term Loan'!$V:$V,'Term Summary'!G$5)</f>
        <v>0</v>
      </c>
      <c r="H14" s="26">
        <f>SUMIFS('Term Loan'!$P:$P,'Term Loan'!$K:$K,'Term Summary'!$B$7,'Term Loan'!$L:$L,'Term Summary'!$B14,'Term Loan'!$V:$V,'Term Summary'!H$5)</f>
        <v>0</v>
      </c>
      <c r="I14" s="26">
        <f>SUMIFS('Term Loan'!$P:$P,'Term Loan'!$K:$K,'Term Summary'!$B$7,'Term Loan'!$L:$L,'Term Summary'!$B14,'Term Loan'!$V:$V,'Term Summary'!I$5)</f>
        <v>0</v>
      </c>
      <c r="J14" s="26">
        <f>SUMIFS('Term Loan'!$P:$P,'Term Loan'!$K:$K,'Term Summary'!$B$7,'Term Loan'!$L:$L,'Term Summary'!$B14,'Term Loan'!$V:$V,'Term Summary'!J$5)</f>
        <v>0</v>
      </c>
      <c r="K14" s="44">
        <f t="shared" si="0"/>
        <v>0</v>
      </c>
      <c r="L14" s="26">
        <f t="shared" si="1"/>
        <v>0</v>
      </c>
      <c r="N14" s="12" t="str">
        <f t="shared" si="2"/>
        <v>N/A</v>
      </c>
      <c r="O14" s="12" t="str">
        <f t="shared" si="3"/>
        <v>N/A</v>
      </c>
      <c r="P14" s="12" t="str">
        <f t="shared" si="4"/>
        <v>N/A</v>
      </c>
      <c r="Q14" s="12" t="str">
        <f t="shared" si="5"/>
        <v>N/A</v>
      </c>
    </row>
    <row r="15" spans="2:17" outlineLevel="1" x14ac:dyDescent="0.35">
      <c r="B15" s="39" t="s">
        <v>57</v>
      </c>
      <c r="C15" s="26">
        <f>COUNTIFS('Term Loan'!$K:$K,'Term Summary'!$B$7,'Term Loan'!$L:$L,'Term Summary'!$B15)</f>
        <v>0</v>
      </c>
      <c r="D15" s="26">
        <f>COUNTIFS('Term Asset'!$E:$E,'Term Summary'!$B$7,'Term Asset'!$F:$F,'Term Summary'!$B15)</f>
        <v>0</v>
      </c>
      <c r="E15" s="26">
        <f>SUMIFS('Term Loan'!$P:$P,'Term Loan'!$K:$K,'Term Summary'!$B$7,'Term Loan'!$L:$L,'Term Summary'!$B15,'Term Loan'!$V:$V,'Term Summary'!E$5)</f>
        <v>0</v>
      </c>
      <c r="F15" s="26">
        <f>SUMIFS('Term Loan'!$P:$P,'Term Loan'!$K:$K,'Term Summary'!$B$7,'Term Loan'!$L:$L,'Term Summary'!$B15,'Term Loan'!$V:$V,'Term Summary'!F$5)</f>
        <v>0</v>
      </c>
      <c r="G15" s="26">
        <f>SUMIFS('Term Loan'!$P:$P,'Term Loan'!$K:$K,'Term Summary'!$B$7,'Term Loan'!$L:$L,'Term Summary'!$B15,'Term Loan'!$V:$V,'Term Summary'!G$5)</f>
        <v>0</v>
      </c>
      <c r="H15" s="26">
        <f>SUMIFS('Term Loan'!$P:$P,'Term Loan'!$K:$K,'Term Summary'!$B$7,'Term Loan'!$L:$L,'Term Summary'!$B15,'Term Loan'!$V:$V,'Term Summary'!H$5)</f>
        <v>0</v>
      </c>
      <c r="I15" s="26">
        <f>SUMIFS('Term Loan'!$P:$P,'Term Loan'!$K:$K,'Term Summary'!$B$7,'Term Loan'!$L:$L,'Term Summary'!$B15,'Term Loan'!$V:$V,'Term Summary'!I$5)</f>
        <v>0</v>
      </c>
      <c r="J15" s="26">
        <f>SUMIFS('Term Loan'!$P:$P,'Term Loan'!$K:$K,'Term Summary'!$B$7,'Term Loan'!$L:$L,'Term Summary'!$B15,'Term Loan'!$V:$V,'Term Summary'!J$5)</f>
        <v>0</v>
      </c>
      <c r="K15" s="44">
        <f t="shared" si="0"/>
        <v>0</v>
      </c>
      <c r="L15" s="26">
        <f t="shared" si="1"/>
        <v>0</v>
      </c>
      <c r="N15" s="12" t="str">
        <f t="shared" si="2"/>
        <v>N/A</v>
      </c>
      <c r="O15" s="12" t="str">
        <f t="shared" si="3"/>
        <v>N/A</v>
      </c>
      <c r="P15" s="12" t="str">
        <f t="shared" si="4"/>
        <v>N/A</v>
      </c>
      <c r="Q15" s="12" t="str">
        <f t="shared" si="5"/>
        <v>N/A</v>
      </c>
    </row>
    <row r="16" spans="2:17" outlineLevel="1" x14ac:dyDescent="0.35">
      <c r="B16" s="39" t="s">
        <v>58</v>
      </c>
      <c r="C16" s="26">
        <f>COUNTIFS('Term Loan'!$K:$K,'Term Summary'!$B$7,'Term Loan'!$L:$L,'Term Summary'!$B16)</f>
        <v>0</v>
      </c>
      <c r="D16" s="26">
        <f>COUNTIFS('Term Asset'!$E:$E,'Term Summary'!$B$7,'Term Asset'!$F:$F,'Term Summary'!$B16)</f>
        <v>0</v>
      </c>
      <c r="E16" s="26">
        <f>SUMIFS('Term Loan'!$P:$P,'Term Loan'!$K:$K,'Term Summary'!$B$7,'Term Loan'!$L:$L,'Term Summary'!$B16,'Term Loan'!$V:$V,'Term Summary'!E$5)</f>
        <v>0</v>
      </c>
      <c r="F16" s="26">
        <f>SUMIFS('Term Loan'!$P:$P,'Term Loan'!$K:$K,'Term Summary'!$B$7,'Term Loan'!$L:$L,'Term Summary'!$B16,'Term Loan'!$V:$V,'Term Summary'!F$5)</f>
        <v>0</v>
      </c>
      <c r="G16" s="26">
        <f>SUMIFS('Term Loan'!$P:$P,'Term Loan'!$K:$K,'Term Summary'!$B$7,'Term Loan'!$L:$L,'Term Summary'!$B16,'Term Loan'!$V:$V,'Term Summary'!G$5)</f>
        <v>0</v>
      </c>
      <c r="H16" s="26">
        <f>SUMIFS('Term Loan'!$P:$P,'Term Loan'!$K:$K,'Term Summary'!$B$7,'Term Loan'!$L:$L,'Term Summary'!$B16,'Term Loan'!$V:$V,'Term Summary'!H$5)</f>
        <v>0</v>
      </c>
      <c r="I16" s="26">
        <f>SUMIFS('Term Loan'!$P:$P,'Term Loan'!$K:$K,'Term Summary'!$B$7,'Term Loan'!$L:$L,'Term Summary'!$B16,'Term Loan'!$V:$V,'Term Summary'!I$5)</f>
        <v>0</v>
      </c>
      <c r="J16" s="26">
        <f>SUMIFS('Term Loan'!$P:$P,'Term Loan'!$K:$K,'Term Summary'!$B$7,'Term Loan'!$L:$L,'Term Summary'!$B16,'Term Loan'!$V:$V,'Term Summary'!J$5)</f>
        <v>0</v>
      </c>
      <c r="K16" s="44">
        <f t="shared" si="0"/>
        <v>0</v>
      </c>
      <c r="L16" s="26">
        <f t="shared" si="1"/>
        <v>0</v>
      </c>
      <c r="N16" s="12" t="str">
        <f t="shared" si="2"/>
        <v>N/A</v>
      </c>
      <c r="O16" s="12" t="str">
        <f t="shared" si="3"/>
        <v>N/A</v>
      </c>
      <c r="P16" s="12" t="str">
        <f t="shared" si="4"/>
        <v>N/A</v>
      </c>
      <c r="Q16" s="12" t="str">
        <f t="shared" si="5"/>
        <v>N/A</v>
      </c>
    </row>
    <row r="17" spans="2:17" outlineLevel="1" x14ac:dyDescent="0.35">
      <c r="B17" s="39" t="s">
        <v>59</v>
      </c>
      <c r="C17" s="26">
        <f>COUNTIFS('Term Loan'!$K:$K,'Term Summary'!$B$7,'Term Loan'!$L:$L,'Term Summary'!$B17)</f>
        <v>0</v>
      </c>
      <c r="D17" s="26">
        <f>COUNTIFS('Term Asset'!$E:$E,'Term Summary'!$B$7,'Term Asset'!$F:$F,'Term Summary'!$B17)</f>
        <v>0</v>
      </c>
      <c r="E17" s="26">
        <f>SUMIFS('Term Loan'!$P:$P,'Term Loan'!$K:$K,'Term Summary'!$B$7,'Term Loan'!$L:$L,'Term Summary'!$B17,'Term Loan'!$V:$V,'Term Summary'!E$5)</f>
        <v>0</v>
      </c>
      <c r="F17" s="26">
        <f>SUMIFS('Term Loan'!$P:$P,'Term Loan'!$K:$K,'Term Summary'!$B$7,'Term Loan'!$L:$L,'Term Summary'!$B17,'Term Loan'!$V:$V,'Term Summary'!F$5)</f>
        <v>0</v>
      </c>
      <c r="G17" s="26">
        <f>SUMIFS('Term Loan'!$P:$P,'Term Loan'!$K:$K,'Term Summary'!$B$7,'Term Loan'!$L:$L,'Term Summary'!$B17,'Term Loan'!$V:$V,'Term Summary'!G$5)</f>
        <v>0</v>
      </c>
      <c r="H17" s="26">
        <f>SUMIFS('Term Loan'!$P:$P,'Term Loan'!$K:$K,'Term Summary'!$B$7,'Term Loan'!$L:$L,'Term Summary'!$B17,'Term Loan'!$V:$V,'Term Summary'!H$5)</f>
        <v>0</v>
      </c>
      <c r="I17" s="26">
        <f>SUMIFS('Term Loan'!$P:$P,'Term Loan'!$K:$K,'Term Summary'!$B$7,'Term Loan'!$L:$L,'Term Summary'!$B17,'Term Loan'!$V:$V,'Term Summary'!I$5)</f>
        <v>0</v>
      </c>
      <c r="J17" s="26">
        <f>SUMIFS('Term Loan'!$P:$P,'Term Loan'!$K:$K,'Term Summary'!$B$7,'Term Loan'!$L:$L,'Term Summary'!$B17,'Term Loan'!$V:$V,'Term Summary'!J$5)</f>
        <v>0</v>
      </c>
      <c r="K17" s="44">
        <f t="shared" si="0"/>
        <v>0</v>
      </c>
      <c r="L17" s="26">
        <f t="shared" si="1"/>
        <v>0</v>
      </c>
      <c r="N17" s="12" t="str">
        <f t="shared" si="2"/>
        <v>N/A</v>
      </c>
      <c r="O17" s="12" t="str">
        <f t="shared" si="3"/>
        <v>N/A</v>
      </c>
      <c r="P17" s="12" t="str">
        <f t="shared" si="4"/>
        <v>N/A</v>
      </c>
      <c r="Q17" s="12" t="str">
        <f t="shared" si="5"/>
        <v>N/A</v>
      </c>
    </row>
    <row r="18" spans="2:17" outlineLevel="1" x14ac:dyDescent="0.35">
      <c r="B18" s="39" t="s">
        <v>60</v>
      </c>
      <c r="C18" s="26">
        <f>COUNTIFS('Term Loan'!$K:$K,'Term Summary'!$B$7,'Term Loan'!$L:$L,'Term Summary'!$B18)</f>
        <v>0</v>
      </c>
      <c r="D18" s="26">
        <f>COUNTIFS('Term Asset'!$E:$E,'Term Summary'!$B$7,'Term Asset'!$F:$F,'Term Summary'!$B18)</f>
        <v>0</v>
      </c>
      <c r="E18" s="26">
        <f>SUMIFS('Term Loan'!$P:$P,'Term Loan'!$K:$K,'Term Summary'!$B$7,'Term Loan'!$L:$L,'Term Summary'!$B18,'Term Loan'!$V:$V,'Term Summary'!E$5)</f>
        <v>0</v>
      </c>
      <c r="F18" s="26">
        <f>SUMIFS('Term Loan'!$P:$P,'Term Loan'!$K:$K,'Term Summary'!$B$7,'Term Loan'!$L:$L,'Term Summary'!$B18,'Term Loan'!$V:$V,'Term Summary'!F$5)</f>
        <v>0</v>
      </c>
      <c r="G18" s="26">
        <f>SUMIFS('Term Loan'!$P:$P,'Term Loan'!$K:$K,'Term Summary'!$B$7,'Term Loan'!$L:$L,'Term Summary'!$B18,'Term Loan'!$V:$V,'Term Summary'!G$5)</f>
        <v>0</v>
      </c>
      <c r="H18" s="26">
        <f>SUMIFS('Term Loan'!$P:$P,'Term Loan'!$K:$K,'Term Summary'!$B$7,'Term Loan'!$L:$L,'Term Summary'!$B18,'Term Loan'!$V:$V,'Term Summary'!H$5)</f>
        <v>0</v>
      </c>
      <c r="I18" s="26">
        <f>SUMIFS('Term Loan'!$P:$P,'Term Loan'!$K:$K,'Term Summary'!$B$7,'Term Loan'!$L:$L,'Term Summary'!$B18,'Term Loan'!$V:$V,'Term Summary'!I$5)</f>
        <v>0</v>
      </c>
      <c r="J18" s="26">
        <f>SUMIFS('Term Loan'!$P:$P,'Term Loan'!$K:$K,'Term Summary'!$B$7,'Term Loan'!$L:$L,'Term Summary'!$B18,'Term Loan'!$V:$V,'Term Summary'!J$5)</f>
        <v>0</v>
      </c>
      <c r="K18" s="44">
        <f t="shared" si="0"/>
        <v>0</v>
      </c>
      <c r="L18" s="26">
        <f t="shared" si="1"/>
        <v>0</v>
      </c>
      <c r="N18" s="12" t="str">
        <f t="shared" si="2"/>
        <v>N/A</v>
      </c>
      <c r="O18" s="12" t="str">
        <f t="shared" si="3"/>
        <v>N/A</v>
      </c>
      <c r="P18" s="12" t="str">
        <f t="shared" si="4"/>
        <v>N/A</v>
      </c>
      <c r="Q18" s="12" t="str">
        <f t="shared" si="5"/>
        <v>N/A</v>
      </c>
    </row>
    <row r="19" spans="2:17" outlineLevel="1" x14ac:dyDescent="0.35">
      <c r="B19" s="39" t="s">
        <v>61</v>
      </c>
      <c r="C19" s="26">
        <f>COUNTIFS('Term Loan'!$K:$K,'Term Summary'!$B$7,'Term Loan'!$L:$L,'Term Summary'!$B19)</f>
        <v>0</v>
      </c>
      <c r="D19" s="26">
        <f>COUNTIFS('Term Asset'!$E:$E,'Term Summary'!$B$7,'Term Asset'!$F:$F,'Term Summary'!$B19)</f>
        <v>0</v>
      </c>
      <c r="E19" s="26">
        <f>SUMIFS('Term Loan'!$P:$P,'Term Loan'!$K:$K,'Term Summary'!$B$7,'Term Loan'!$L:$L,'Term Summary'!$B19,'Term Loan'!$V:$V,'Term Summary'!E$5)</f>
        <v>0</v>
      </c>
      <c r="F19" s="26">
        <f>SUMIFS('Term Loan'!$P:$P,'Term Loan'!$K:$K,'Term Summary'!$B$7,'Term Loan'!$L:$L,'Term Summary'!$B19,'Term Loan'!$V:$V,'Term Summary'!F$5)</f>
        <v>0</v>
      </c>
      <c r="G19" s="26">
        <f>SUMIFS('Term Loan'!$P:$P,'Term Loan'!$K:$K,'Term Summary'!$B$7,'Term Loan'!$L:$L,'Term Summary'!$B19,'Term Loan'!$V:$V,'Term Summary'!G$5)</f>
        <v>0</v>
      </c>
      <c r="H19" s="26">
        <f>SUMIFS('Term Loan'!$P:$P,'Term Loan'!$K:$K,'Term Summary'!$B$7,'Term Loan'!$L:$L,'Term Summary'!$B19,'Term Loan'!$V:$V,'Term Summary'!H$5)</f>
        <v>0</v>
      </c>
      <c r="I19" s="26">
        <f>SUMIFS('Term Loan'!$P:$P,'Term Loan'!$K:$K,'Term Summary'!$B$7,'Term Loan'!$L:$L,'Term Summary'!$B19,'Term Loan'!$V:$V,'Term Summary'!I$5)</f>
        <v>0</v>
      </c>
      <c r="J19" s="26">
        <f>SUMIFS('Term Loan'!$P:$P,'Term Loan'!$K:$K,'Term Summary'!$B$7,'Term Loan'!$L:$L,'Term Summary'!$B19,'Term Loan'!$V:$V,'Term Summary'!J$5)</f>
        <v>0</v>
      </c>
      <c r="K19" s="44">
        <f t="shared" si="0"/>
        <v>0</v>
      </c>
      <c r="L19" s="26">
        <f t="shared" si="1"/>
        <v>0</v>
      </c>
      <c r="N19" s="12" t="str">
        <f t="shared" si="2"/>
        <v>N/A</v>
      </c>
      <c r="O19" s="12" t="str">
        <f t="shared" si="3"/>
        <v>N/A</v>
      </c>
      <c r="P19" s="12" t="str">
        <f t="shared" si="4"/>
        <v>N/A</v>
      </c>
      <c r="Q19" s="12" t="str">
        <f t="shared" si="5"/>
        <v>N/A</v>
      </c>
    </row>
    <row r="20" spans="2:17" outlineLevel="1" x14ac:dyDescent="0.35">
      <c r="B20" s="39" t="s">
        <v>62</v>
      </c>
      <c r="C20" s="26">
        <f>COUNTIFS('Term Loan'!$K:$K,'Term Summary'!$B$7,'Term Loan'!$L:$L,'Term Summary'!$B20)</f>
        <v>0</v>
      </c>
      <c r="D20" s="26">
        <f>COUNTIFS('Term Asset'!$E:$E,'Term Summary'!$B$7,'Term Asset'!$F:$F,'Term Summary'!$B20)</f>
        <v>0</v>
      </c>
      <c r="E20" s="26">
        <f>SUMIFS('Term Loan'!$P:$P,'Term Loan'!$K:$K,'Term Summary'!$B$7,'Term Loan'!$L:$L,'Term Summary'!$B20,'Term Loan'!$V:$V,'Term Summary'!E$5)</f>
        <v>0</v>
      </c>
      <c r="F20" s="26">
        <f>SUMIFS('Term Loan'!$P:$P,'Term Loan'!$K:$K,'Term Summary'!$B$7,'Term Loan'!$L:$L,'Term Summary'!$B20,'Term Loan'!$V:$V,'Term Summary'!F$5)</f>
        <v>0</v>
      </c>
      <c r="G20" s="26">
        <f>SUMIFS('Term Loan'!$P:$P,'Term Loan'!$K:$K,'Term Summary'!$B$7,'Term Loan'!$L:$L,'Term Summary'!$B20,'Term Loan'!$V:$V,'Term Summary'!G$5)</f>
        <v>0</v>
      </c>
      <c r="H20" s="26">
        <f>SUMIFS('Term Loan'!$P:$P,'Term Loan'!$K:$K,'Term Summary'!$B$7,'Term Loan'!$L:$L,'Term Summary'!$B20,'Term Loan'!$V:$V,'Term Summary'!H$5)</f>
        <v>0</v>
      </c>
      <c r="I20" s="26">
        <f>SUMIFS('Term Loan'!$P:$P,'Term Loan'!$K:$K,'Term Summary'!$B$7,'Term Loan'!$L:$L,'Term Summary'!$B20,'Term Loan'!$V:$V,'Term Summary'!I$5)</f>
        <v>0</v>
      </c>
      <c r="J20" s="26">
        <f>SUMIFS('Term Loan'!$P:$P,'Term Loan'!$K:$K,'Term Summary'!$B$7,'Term Loan'!$L:$L,'Term Summary'!$B20,'Term Loan'!$V:$V,'Term Summary'!J$5)</f>
        <v>0</v>
      </c>
      <c r="K20" s="44">
        <f t="shared" si="0"/>
        <v>0</v>
      </c>
      <c r="L20" s="26">
        <f t="shared" si="1"/>
        <v>0</v>
      </c>
      <c r="N20" s="12" t="str">
        <f t="shared" si="2"/>
        <v>N/A</v>
      </c>
      <c r="O20" s="12" t="str">
        <f t="shared" si="3"/>
        <v>N/A</v>
      </c>
      <c r="P20" s="12" t="str">
        <f t="shared" si="4"/>
        <v>N/A</v>
      </c>
      <c r="Q20" s="12" t="str">
        <f t="shared" si="5"/>
        <v>N/A</v>
      </c>
    </row>
    <row r="21" spans="2:17" outlineLevel="1" x14ac:dyDescent="0.35">
      <c r="B21" s="39" t="s">
        <v>63</v>
      </c>
      <c r="C21" s="26">
        <f>COUNTIFS('Term Loan'!$K:$K,'Term Summary'!$B$7,'Term Loan'!$L:$L,'Term Summary'!$B21)</f>
        <v>0</v>
      </c>
      <c r="D21" s="26">
        <f>COUNTIFS('Term Asset'!$E:$E,'Term Summary'!$B$7,'Term Asset'!$F:$F,'Term Summary'!$B21)</f>
        <v>0</v>
      </c>
      <c r="E21" s="26">
        <f>SUMIFS('Term Loan'!$P:$P,'Term Loan'!$K:$K,'Term Summary'!$B$7,'Term Loan'!$L:$L,'Term Summary'!$B21,'Term Loan'!$V:$V,'Term Summary'!E$5)</f>
        <v>0</v>
      </c>
      <c r="F21" s="26">
        <f>SUMIFS('Term Loan'!$P:$P,'Term Loan'!$K:$K,'Term Summary'!$B$7,'Term Loan'!$L:$L,'Term Summary'!$B21,'Term Loan'!$V:$V,'Term Summary'!F$5)</f>
        <v>0</v>
      </c>
      <c r="G21" s="26">
        <f>SUMIFS('Term Loan'!$P:$P,'Term Loan'!$K:$K,'Term Summary'!$B$7,'Term Loan'!$L:$L,'Term Summary'!$B21,'Term Loan'!$V:$V,'Term Summary'!G$5)</f>
        <v>0</v>
      </c>
      <c r="H21" s="26">
        <f>SUMIFS('Term Loan'!$P:$P,'Term Loan'!$K:$K,'Term Summary'!$B$7,'Term Loan'!$L:$L,'Term Summary'!$B21,'Term Loan'!$V:$V,'Term Summary'!H$5)</f>
        <v>0</v>
      </c>
      <c r="I21" s="26">
        <f>SUMIFS('Term Loan'!$P:$P,'Term Loan'!$K:$K,'Term Summary'!$B$7,'Term Loan'!$L:$L,'Term Summary'!$B21,'Term Loan'!$V:$V,'Term Summary'!I$5)</f>
        <v>0</v>
      </c>
      <c r="J21" s="26">
        <f>SUMIFS('Term Loan'!$P:$P,'Term Loan'!$K:$K,'Term Summary'!$B$7,'Term Loan'!$L:$L,'Term Summary'!$B21,'Term Loan'!$V:$V,'Term Summary'!J$5)</f>
        <v>0</v>
      </c>
      <c r="K21" s="44">
        <f t="shared" si="0"/>
        <v>0</v>
      </c>
      <c r="L21" s="26">
        <f t="shared" si="1"/>
        <v>0</v>
      </c>
      <c r="N21" s="12" t="str">
        <f t="shared" si="2"/>
        <v>N/A</v>
      </c>
      <c r="O21" s="12" t="str">
        <f t="shared" si="3"/>
        <v>N/A</v>
      </c>
      <c r="P21" s="12" t="str">
        <f t="shared" si="4"/>
        <v>N/A</v>
      </c>
      <c r="Q21" s="12" t="str">
        <f t="shared" si="5"/>
        <v>N/A</v>
      </c>
    </row>
    <row r="22" spans="2:17" outlineLevel="1" x14ac:dyDescent="0.35">
      <c r="B22" s="39" t="s">
        <v>64</v>
      </c>
      <c r="C22" s="26">
        <f>COUNTIFS('Term Loan'!$K:$K,'Term Summary'!$B$7,'Term Loan'!$L:$L,'Term Summary'!$B22)</f>
        <v>0</v>
      </c>
      <c r="D22" s="26">
        <f>COUNTIFS('Term Asset'!$E:$E,'Term Summary'!$B$7,'Term Asset'!$F:$F,'Term Summary'!$B22)</f>
        <v>0</v>
      </c>
      <c r="E22" s="26">
        <f>SUMIFS('Term Loan'!$P:$P,'Term Loan'!$K:$K,'Term Summary'!$B$7,'Term Loan'!$L:$L,'Term Summary'!$B22,'Term Loan'!$V:$V,'Term Summary'!E$5)</f>
        <v>0</v>
      </c>
      <c r="F22" s="26">
        <f>SUMIFS('Term Loan'!$P:$P,'Term Loan'!$K:$K,'Term Summary'!$B$7,'Term Loan'!$L:$L,'Term Summary'!$B22,'Term Loan'!$V:$V,'Term Summary'!F$5)</f>
        <v>0</v>
      </c>
      <c r="G22" s="26">
        <f>SUMIFS('Term Loan'!$P:$P,'Term Loan'!$K:$K,'Term Summary'!$B$7,'Term Loan'!$L:$L,'Term Summary'!$B22,'Term Loan'!$V:$V,'Term Summary'!G$5)</f>
        <v>0</v>
      </c>
      <c r="H22" s="26">
        <f>SUMIFS('Term Loan'!$P:$P,'Term Loan'!$K:$K,'Term Summary'!$B$7,'Term Loan'!$L:$L,'Term Summary'!$B22,'Term Loan'!$V:$V,'Term Summary'!H$5)</f>
        <v>0</v>
      </c>
      <c r="I22" s="26">
        <f>SUMIFS('Term Loan'!$P:$P,'Term Loan'!$K:$K,'Term Summary'!$B$7,'Term Loan'!$L:$L,'Term Summary'!$B22,'Term Loan'!$V:$V,'Term Summary'!I$5)</f>
        <v>0</v>
      </c>
      <c r="J22" s="26">
        <f>SUMIFS('Term Loan'!$P:$P,'Term Loan'!$K:$K,'Term Summary'!$B$7,'Term Loan'!$L:$L,'Term Summary'!$B22,'Term Loan'!$V:$V,'Term Summary'!J$5)</f>
        <v>0</v>
      </c>
      <c r="K22" s="44">
        <f t="shared" si="0"/>
        <v>0</v>
      </c>
      <c r="L22" s="26">
        <f t="shared" si="1"/>
        <v>0</v>
      </c>
      <c r="N22" s="12" t="str">
        <f t="shared" si="2"/>
        <v>N/A</v>
      </c>
      <c r="O22" s="12" t="str">
        <f t="shared" si="3"/>
        <v>N/A</v>
      </c>
      <c r="P22" s="12" t="str">
        <f t="shared" si="4"/>
        <v>N/A</v>
      </c>
      <c r="Q22" s="12" t="str">
        <f t="shared" si="5"/>
        <v>N/A</v>
      </c>
    </row>
    <row r="23" spans="2:17" outlineLevel="1" x14ac:dyDescent="0.35">
      <c r="B23" s="39" t="s">
        <v>65</v>
      </c>
      <c r="C23" s="26">
        <f>COUNTIFS('Term Loan'!$K:$K,'Term Summary'!$B$7,'Term Loan'!$L:$L,'Term Summary'!$B23)</f>
        <v>0</v>
      </c>
      <c r="D23" s="26">
        <f>COUNTIFS('Term Asset'!$E:$E,'Term Summary'!$B$7,'Term Asset'!$F:$F,'Term Summary'!$B23)</f>
        <v>0</v>
      </c>
      <c r="E23" s="26">
        <f>SUMIFS('Term Loan'!$P:$P,'Term Loan'!$K:$K,'Term Summary'!$B$7,'Term Loan'!$L:$L,'Term Summary'!$B23,'Term Loan'!$V:$V,'Term Summary'!E$5)</f>
        <v>0</v>
      </c>
      <c r="F23" s="26">
        <f>SUMIFS('Term Loan'!$P:$P,'Term Loan'!$K:$K,'Term Summary'!$B$7,'Term Loan'!$L:$L,'Term Summary'!$B23,'Term Loan'!$V:$V,'Term Summary'!F$5)</f>
        <v>0</v>
      </c>
      <c r="G23" s="26">
        <f>SUMIFS('Term Loan'!$P:$P,'Term Loan'!$K:$K,'Term Summary'!$B$7,'Term Loan'!$L:$L,'Term Summary'!$B23,'Term Loan'!$V:$V,'Term Summary'!G$5)</f>
        <v>0</v>
      </c>
      <c r="H23" s="26">
        <f>SUMIFS('Term Loan'!$P:$P,'Term Loan'!$K:$K,'Term Summary'!$B$7,'Term Loan'!$L:$L,'Term Summary'!$B23,'Term Loan'!$V:$V,'Term Summary'!H$5)</f>
        <v>0</v>
      </c>
      <c r="I23" s="26">
        <f>SUMIFS('Term Loan'!$P:$P,'Term Loan'!$K:$K,'Term Summary'!$B$7,'Term Loan'!$L:$L,'Term Summary'!$B23,'Term Loan'!$V:$V,'Term Summary'!I$5)</f>
        <v>0</v>
      </c>
      <c r="J23" s="26">
        <f>SUMIFS('Term Loan'!$P:$P,'Term Loan'!$K:$K,'Term Summary'!$B$7,'Term Loan'!$L:$L,'Term Summary'!$B23,'Term Loan'!$V:$V,'Term Summary'!J$5)</f>
        <v>0</v>
      </c>
      <c r="K23" s="44">
        <f t="shared" si="0"/>
        <v>0</v>
      </c>
      <c r="L23" s="26">
        <f t="shared" si="1"/>
        <v>0</v>
      </c>
      <c r="N23" s="12" t="str">
        <f t="shared" si="2"/>
        <v>N/A</v>
      </c>
      <c r="O23" s="12" t="str">
        <f t="shared" si="3"/>
        <v>N/A</v>
      </c>
      <c r="P23" s="12" t="str">
        <f t="shared" si="4"/>
        <v>N/A</v>
      </c>
      <c r="Q23" s="12" t="str">
        <f t="shared" si="5"/>
        <v>N/A</v>
      </c>
    </row>
    <row r="24" spans="2:17" outlineLevel="1" x14ac:dyDescent="0.35">
      <c r="B24" s="39" t="s">
        <v>66</v>
      </c>
      <c r="C24" s="26">
        <f>COUNTIFS('Term Loan'!$K:$K,'Term Summary'!$B$7,'Term Loan'!$L:$L,'Term Summary'!$B24)</f>
        <v>0</v>
      </c>
      <c r="D24" s="26">
        <f>COUNTIFS('Term Asset'!$E:$E,'Term Summary'!$B$7,'Term Asset'!$F:$F,'Term Summary'!$B24)</f>
        <v>0</v>
      </c>
      <c r="E24" s="26">
        <f>SUMIFS('Term Loan'!$P:$P,'Term Loan'!$K:$K,'Term Summary'!$B$7,'Term Loan'!$L:$L,'Term Summary'!$B24,'Term Loan'!$V:$V,'Term Summary'!E$5)</f>
        <v>0</v>
      </c>
      <c r="F24" s="26">
        <f>SUMIFS('Term Loan'!$P:$P,'Term Loan'!$K:$K,'Term Summary'!$B$7,'Term Loan'!$L:$L,'Term Summary'!$B24,'Term Loan'!$V:$V,'Term Summary'!F$5)</f>
        <v>0</v>
      </c>
      <c r="G24" s="26">
        <f>SUMIFS('Term Loan'!$P:$P,'Term Loan'!$K:$K,'Term Summary'!$B$7,'Term Loan'!$L:$L,'Term Summary'!$B24,'Term Loan'!$V:$V,'Term Summary'!G$5)</f>
        <v>0</v>
      </c>
      <c r="H24" s="26">
        <f>SUMIFS('Term Loan'!$P:$P,'Term Loan'!$K:$K,'Term Summary'!$B$7,'Term Loan'!$L:$L,'Term Summary'!$B24,'Term Loan'!$V:$V,'Term Summary'!H$5)</f>
        <v>0</v>
      </c>
      <c r="I24" s="26">
        <f>SUMIFS('Term Loan'!$P:$P,'Term Loan'!$K:$K,'Term Summary'!$B$7,'Term Loan'!$L:$L,'Term Summary'!$B24,'Term Loan'!$V:$V,'Term Summary'!I$5)</f>
        <v>0</v>
      </c>
      <c r="J24" s="26">
        <f>SUMIFS('Term Loan'!$P:$P,'Term Loan'!$K:$K,'Term Summary'!$B$7,'Term Loan'!$L:$L,'Term Summary'!$B24,'Term Loan'!$V:$V,'Term Summary'!J$5)</f>
        <v>0</v>
      </c>
      <c r="K24" s="44">
        <f t="shared" si="0"/>
        <v>0</v>
      </c>
      <c r="L24" s="26">
        <f t="shared" si="1"/>
        <v>0</v>
      </c>
      <c r="N24" s="12" t="str">
        <f t="shared" si="2"/>
        <v>N/A</v>
      </c>
      <c r="O24" s="12" t="str">
        <f t="shared" si="3"/>
        <v>N/A</v>
      </c>
      <c r="P24" s="12" t="str">
        <f t="shared" si="4"/>
        <v>N/A</v>
      </c>
      <c r="Q24" s="12" t="str">
        <f t="shared" si="5"/>
        <v>N/A</v>
      </c>
    </row>
    <row r="25" spans="2:17" x14ac:dyDescent="0.35">
      <c r="B25" s="38" t="s">
        <v>25</v>
      </c>
      <c r="C25" s="37">
        <f>COUNTIFS('Term Loan'!$K:$K,'Term Summary'!$B25)</f>
        <v>0</v>
      </c>
      <c r="D25" s="37">
        <f>COUNTIFS('Term Asset'!$E:$E,'Term Summary'!$B25)</f>
        <v>0</v>
      </c>
      <c r="E25" s="37">
        <f>SUMIFS('Term Loan'!$P:$P,'Term Loan'!$K:$K,'Term Summary'!$B25,'Term Loan'!$V:$V,'Term Summary'!E$5)</f>
        <v>0</v>
      </c>
      <c r="F25" s="37">
        <f>SUMIFS('Term Loan'!$P:$P,'Term Loan'!$K:$K,'Term Summary'!$B25,'Term Loan'!$V:$V,'Term Summary'!F$5)</f>
        <v>0</v>
      </c>
      <c r="G25" s="37">
        <f>SUMIFS('Term Loan'!$P:$P,'Term Loan'!$K:$K,'Term Summary'!$B25,'Term Loan'!$V:$V,'Term Summary'!G$5)</f>
        <v>0</v>
      </c>
      <c r="H25" s="37">
        <f>SUMIFS('Term Loan'!$P:$P,'Term Loan'!$K:$K,'Term Summary'!$B25,'Term Loan'!$V:$V,'Term Summary'!H$5)</f>
        <v>0</v>
      </c>
      <c r="I25" s="37">
        <f>SUMIFS('Term Loan'!$P:$P,'Term Loan'!$K:$K,'Term Summary'!$B25,'Term Loan'!$V:$V,'Term Summary'!I$5)</f>
        <v>0</v>
      </c>
      <c r="J25" s="37">
        <f>SUMIFS('Term Loan'!$P:$P,'Term Loan'!$K:$K,'Term Summary'!$B25,'Term Loan'!$V:$V,'Term Summary'!J$5)</f>
        <v>0</v>
      </c>
      <c r="K25" s="43">
        <f t="shared" si="0"/>
        <v>0</v>
      </c>
      <c r="L25" s="37">
        <f t="shared" si="1"/>
        <v>0</v>
      </c>
      <c r="N25" s="12" t="str">
        <f t="shared" si="2"/>
        <v>N/A</v>
      </c>
      <c r="O25" s="12" t="str">
        <f t="shared" si="3"/>
        <v>N/A</v>
      </c>
      <c r="P25" s="12" t="str">
        <f t="shared" si="4"/>
        <v>N/A</v>
      </c>
      <c r="Q25" s="12" t="str">
        <f t="shared" si="5"/>
        <v>N/A</v>
      </c>
    </row>
    <row r="26" spans="2:17" x14ac:dyDescent="0.35">
      <c r="B26" s="38" t="s">
        <v>67</v>
      </c>
      <c r="C26" s="37">
        <f>COUNTIFS('Term Loan'!$K:$K,'Term Summary'!$B26)</f>
        <v>0</v>
      </c>
      <c r="D26" s="37">
        <f>COUNTIFS('Term Asset'!$E:$E,'Term Summary'!$B26)</f>
        <v>0</v>
      </c>
      <c r="E26" s="37">
        <f>SUMIFS('Term Loan'!$P:$P,'Term Loan'!$K:$K,'Term Summary'!$B26,'Term Loan'!$V:$V,'Term Summary'!E$5)</f>
        <v>0</v>
      </c>
      <c r="F26" s="37">
        <f>SUMIFS('Term Loan'!$P:$P,'Term Loan'!$K:$K,'Term Summary'!$B26,'Term Loan'!$V:$V,'Term Summary'!F$5)</f>
        <v>0</v>
      </c>
      <c r="G26" s="37">
        <f>SUMIFS('Term Loan'!$P:$P,'Term Loan'!$K:$K,'Term Summary'!$B26,'Term Loan'!$V:$V,'Term Summary'!G$5)</f>
        <v>0</v>
      </c>
      <c r="H26" s="37">
        <f>SUMIFS('Term Loan'!$P:$P,'Term Loan'!$K:$K,'Term Summary'!$B26,'Term Loan'!$V:$V,'Term Summary'!H$5)</f>
        <v>0</v>
      </c>
      <c r="I26" s="37">
        <f>SUMIFS('Term Loan'!$P:$P,'Term Loan'!$K:$K,'Term Summary'!$B26,'Term Loan'!$V:$V,'Term Summary'!I$5)</f>
        <v>0</v>
      </c>
      <c r="J26" s="37">
        <f>SUMIFS('Term Loan'!$P:$P,'Term Loan'!$K:$K,'Term Summary'!$B26,'Term Loan'!$V:$V,'Term Summary'!J$5)</f>
        <v>0</v>
      </c>
      <c r="K26" s="43">
        <f t="shared" si="0"/>
        <v>0</v>
      </c>
      <c r="L26" s="37">
        <f t="shared" si="1"/>
        <v>0</v>
      </c>
      <c r="N26" s="12" t="str">
        <f t="shared" si="2"/>
        <v>N/A</v>
      </c>
      <c r="O26" s="12" t="str">
        <f t="shared" si="3"/>
        <v>N/A</v>
      </c>
      <c r="P26" s="12" t="str">
        <f t="shared" si="4"/>
        <v>N/A</v>
      </c>
      <c r="Q26" s="12" t="str">
        <f t="shared" si="5"/>
        <v>N/A</v>
      </c>
    </row>
    <row r="27" spans="2:17" x14ac:dyDescent="0.35">
      <c r="B27" s="38" t="s">
        <v>27</v>
      </c>
      <c r="C27" s="37">
        <f>COUNTIFS('Term Loan'!$K:$K,'Term Summary'!$B27)</f>
        <v>0</v>
      </c>
      <c r="D27" s="37">
        <f>COUNTIFS('Term Asset'!$E:$E,'Term Summary'!$B27)</f>
        <v>0</v>
      </c>
      <c r="E27" s="37">
        <f>SUMIFS('Term Loan'!$P:$P,'Term Loan'!$K:$K,'Term Summary'!$B27,'Term Loan'!$V:$V,'Term Summary'!E$5)</f>
        <v>0</v>
      </c>
      <c r="F27" s="37">
        <f>SUMIFS('Term Loan'!$P:$P,'Term Loan'!$K:$K,'Term Summary'!$B27,'Term Loan'!$V:$V,'Term Summary'!F$5)</f>
        <v>0</v>
      </c>
      <c r="G27" s="37">
        <f>SUMIFS('Term Loan'!$P:$P,'Term Loan'!$K:$K,'Term Summary'!$B27,'Term Loan'!$V:$V,'Term Summary'!G$5)</f>
        <v>0</v>
      </c>
      <c r="H27" s="37">
        <f>SUMIFS('Term Loan'!$P:$P,'Term Loan'!$K:$K,'Term Summary'!$B27,'Term Loan'!$V:$V,'Term Summary'!H$5)</f>
        <v>0</v>
      </c>
      <c r="I27" s="37">
        <f>SUMIFS('Term Loan'!$P:$P,'Term Loan'!$K:$K,'Term Summary'!$B27,'Term Loan'!$V:$V,'Term Summary'!I$5)</f>
        <v>0</v>
      </c>
      <c r="J27" s="37">
        <f>SUMIFS('Term Loan'!$P:$P,'Term Loan'!$K:$K,'Term Summary'!$B27,'Term Loan'!$V:$V,'Term Summary'!J$5)</f>
        <v>0</v>
      </c>
      <c r="K27" s="43">
        <f t="shared" si="0"/>
        <v>0</v>
      </c>
      <c r="L27" s="37">
        <f t="shared" si="1"/>
        <v>0</v>
      </c>
      <c r="N27" s="12" t="str">
        <f t="shared" si="2"/>
        <v>N/A</v>
      </c>
      <c r="O27" s="12" t="str">
        <f t="shared" si="3"/>
        <v>N/A</v>
      </c>
      <c r="P27" s="12" t="str">
        <f t="shared" si="4"/>
        <v>N/A</v>
      </c>
      <c r="Q27" s="12" t="str">
        <f t="shared" si="5"/>
        <v>N/A</v>
      </c>
    </row>
    <row r="28" spans="2:17" x14ac:dyDescent="0.35">
      <c r="B28" s="38" t="s">
        <v>68</v>
      </c>
      <c r="C28" s="37">
        <f>COUNTIFS('Term Loan'!$K:$K,'Term Summary'!$B28)</f>
        <v>0</v>
      </c>
      <c r="D28" s="37">
        <f>COUNTIFS('Term Asset'!$E:$E,'Term Summary'!$B28)</f>
        <v>0</v>
      </c>
      <c r="E28" s="37">
        <f>SUMIFS('Term Loan'!$P:$P,'Term Loan'!$K:$K,'Term Summary'!$B28,'Term Loan'!$V:$V,'Term Summary'!E$5)</f>
        <v>0</v>
      </c>
      <c r="F28" s="37">
        <f>SUMIFS('Term Loan'!$P:$P,'Term Loan'!$K:$K,'Term Summary'!$B28,'Term Loan'!$V:$V,'Term Summary'!F$5)</f>
        <v>0</v>
      </c>
      <c r="G28" s="37">
        <f>SUMIFS('Term Loan'!$P:$P,'Term Loan'!$K:$K,'Term Summary'!$B28,'Term Loan'!$V:$V,'Term Summary'!G$5)</f>
        <v>0</v>
      </c>
      <c r="H28" s="37">
        <f>SUMIFS('Term Loan'!$P:$P,'Term Loan'!$K:$K,'Term Summary'!$B28,'Term Loan'!$V:$V,'Term Summary'!H$5)</f>
        <v>0</v>
      </c>
      <c r="I28" s="37">
        <f>SUMIFS('Term Loan'!$P:$P,'Term Loan'!$K:$K,'Term Summary'!$B28,'Term Loan'!$V:$V,'Term Summary'!I$5)</f>
        <v>0</v>
      </c>
      <c r="J28" s="37">
        <f>SUMIFS('Term Loan'!$P:$P,'Term Loan'!$K:$K,'Term Summary'!$B28,'Term Loan'!$V:$V,'Term Summary'!J$5)</f>
        <v>0</v>
      </c>
      <c r="K28" s="43">
        <f t="shared" si="0"/>
        <v>0</v>
      </c>
      <c r="L28" s="37">
        <f t="shared" si="1"/>
        <v>0</v>
      </c>
      <c r="N28" s="12" t="str">
        <f t="shared" si="2"/>
        <v>N/A</v>
      </c>
      <c r="O28" s="12" t="str">
        <f t="shared" si="3"/>
        <v>N/A</v>
      </c>
      <c r="P28" s="12" t="str">
        <f t="shared" si="4"/>
        <v>N/A</v>
      </c>
      <c r="Q28" s="12" t="str">
        <f t="shared" si="5"/>
        <v>N/A</v>
      </c>
    </row>
    <row r="29" spans="2:17" x14ac:dyDescent="0.35">
      <c r="B29" s="38" t="s">
        <v>69</v>
      </c>
      <c r="C29" s="37">
        <f>COUNTIFS('Term Loan'!$K:$K,'Term Summary'!$B29)</f>
        <v>0</v>
      </c>
      <c r="D29" s="37">
        <f>COUNTIFS('Term Asset'!$E:$E,'Term Summary'!$B29)</f>
        <v>0</v>
      </c>
      <c r="E29" s="37">
        <f>SUMIFS('Term Loan'!$P:$P,'Term Loan'!$K:$K,'Term Summary'!$B29,'Term Loan'!$V:$V,'Term Summary'!E$5)</f>
        <v>0</v>
      </c>
      <c r="F29" s="37">
        <f>SUMIFS('Term Loan'!$P:$P,'Term Loan'!$K:$K,'Term Summary'!$B29,'Term Loan'!$V:$V,'Term Summary'!F$5)</f>
        <v>0</v>
      </c>
      <c r="G29" s="37">
        <f>SUMIFS('Term Loan'!$P:$P,'Term Loan'!$K:$K,'Term Summary'!$B29,'Term Loan'!$V:$V,'Term Summary'!G$5)</f>
        <v>0</v>
      </c>
      <c r="H29" s="37">
        <f>SUMIFS('Term Loan'!$P:$P,'Term Loan'!$K:$K,'Term Summary'!$B29,'Term Loan'!$V:$V,'Term Summary'!H$5)</f>
        <v>0</v>
      </c>
      <c r="I29" s="37">
        <f>SUMIFS('Term Loan'!$P:$P,'Term Loan'!$K:$K,'Term Summary'!$B29,'Term Loan'!$V:$V,'Term Summary'!I$5)</f>
        <v>0</v>
      </c>
      <c r="J29" s="37">
        <f>SUMIFS('Term Loan'!$P:$P,'Term Loan'!$K:$K,'Term Summary'!$B29,'Term Loan'!$V:$V,'Term Summary'!J$5)</f>
        <v>0</v>
      </c>
      <c r="K29" s="43">
        <f t="shared" si="0"/>
        <v>0</v>
      </c>
      <c r="L29" s="37">
        <f t="shared" si="1"/>
        <v>0</v>
      </c>
      <c r="N29" s="12" t="str">
        <f t="shared" si="2"/>
        <v>N/A</v>
      </c>
      <c r="O29" s="12" t="str">
        <f t="shared" si="3"/>
        <v>N/A</v>
      </c>
      <c r="P29" s="12" t="str">
        <f t="shared" si="4"/>
        <v>N/A</v>
      </c>
      <c r="Q29" s="12" t="str">
        <f t="shared" si="5"/>
        <v>N/A</v>
      </c>
    </row>
    <row r="30" spans="2:17" x14ac:dyDescent="0.35">
      <c r="B30" s="45" t="s">
        <v>70</v>
      </c>
      <c r="C30" s="46">
        <f t="shared" ref="C30:L30" si="7">SUM(C$6:C$29)-SUM(C$8:C$24)</f>
        <v>0</v>
      </c>
      <c r="D30" s="46">
        <f t="shared" si="7"/>
        <v>0</v>
      </c>
      <c r="E30" s="46">
        <f t="shared" si="7"/>
        <v>0</v>
      </c>
      <c r="F30" s="46">
        <f t="shared" si="7"/>
        <v>0</v>
      </c>
      <c r="G30" s="46">
        <f t="shared" si="7"/>
        <v>0</v>
      </c>
      <c r="H30" s="46">
        <f t="shared" si="7"/>
        <v>0</v>
      </c>
      <c r="I30" s="46">
        <f t="shared" si="7"/>
        <v>0</v>
      </c>
      <c r="J30" s="46">
        <f t="shared" si="7"/>
        <v>0</v>
      </c>
      <c r="K30" s="47">
        <f t="shared" si="7"/>
        <v>0</v>
      </c>
      <c r="L30" s="48">
        <f t="shared" si="7"/>
        <v>0</v>
      </c>
      <c r="N30" s="13" t="str">
        <f t="shared" si="2"/>
        <v>N/A</v>
      </c>
      <c r="O30" s="14" t="str">
        <f t="shared" si="3"/>
        <v>N/A</v>
      </c>
      <c r="P30" s="14" t="str">
        <f t="shared" si="4"/>
        <v>N/A</v>
      </c>
      <c r="Q30" s="15" t="str">
        <f t="shared" si="5"/>
        <v>N/A</v>
      </c>
    </row>
    <row r="31" spans="2:17" x14ac:dyDescent="0.35">
      <c r="B31" s="52" t="s">
        <v>71</v>
      </c>
      <c r="C31" s="18">
        <f t="shared" ref="C31:L31" si="8">+C$30-SUM(C$28:C$29)</f>
        <v>0</v>
      </c>
      <c r="D31" s="18">
        <f t="shared" si="8"/>
        <v>0</v>
      </c>
      <c r="E31" s="18">
        <f t="shared" si="8"/>
        <v>0</v>
      </c>
      <c r="F31" s="18">
        <f t="shared" si="8"/>
        <v>0</v>
      </c>
      <c r="G31" s="18">
        <f t="shared" si="8"/>
        <v>0</v>
      </c>
      <c r="H31" s="18">
        <f t="shared" si="8"/>
        <v>0</v>
      </c>
      <c r="I31" s="18">
        <f t="shared" si="8"/>
        <v>0</v>
      </c>
      <c r="J31" s="18">
        <f t="shared" si="8"/>
        <v>0</v>
      </c>
      <c r="K31" s="21">
        <f t="shared" si="8"/>
        <v>0</v>
      </c>
      <c r="L31" s="53">
        <f t="shared" si="8"/>
        <v>0</v>
      </c>
      <c r="N31" s="56" t="str">
        <f t="shared" si="2"/>
        <v>N/A</v>
      </c>
      <c r="O31" s="17" t="str">
        <f t="shared" si="3"/>
        <v>N/A</v>
      </c>
      <c r="P31" s="17" t="str">
        <f t="shared" si="4"/>
        <v>N/A</v>
      </c>
      <c r="Q31" s="57" t="str">
        <f t="shared" si="5"/>
        <v>N/A</v>
      </c>
    </row>
    <row r="33" spans="2:17" x14ac:dyDescent="0.35">
      <c r="B33" s="51" t="s">
        <v>72</v>
      </c>
      <c r="C33" s="20">
        <f t="shared" ref="C33:L33" si="9">+C$6</f>
        <v>0</v>
      </c>
      <c r="D33" s="20">
        <f t="shared" si="9"/>
        <v>0</v>
      </c>
      <c r="E33" s="20">
        <f t="shared" si="9"/>
        <v>0</v>
      </c>
      <c r="F33" s="20">
        <f t="shared" si="9"/>
        <v>0</v>
      </c>
      <c r="G33" s="20">
        <f t="shared" si="9"/>
        <v>0</v>
      </c>
      <c r="H33" s="20">
        <f t="shared" si="9"/>
        <v>0</v>
      </c>
      <c r="I33" s="20">
        <f t="shared" si="9"/>
        <v>0</v>
      </c>
      <c r="J33" s="20">
        <f t="shared" si="9"/>
        <v>0</v>
      </c>
      <c r="K33" s="19">
        <f t="shared" si="9"/>
        <v>0</v>
      </c>
      <c r="L33" s="20">
        <f t="shared" si="9"/>
        <v>0</v>
      </c>
      <c r="N33" s="16" t="str">
        <f>IFERROR(SUM($G33:$I33)/$L33,"N/A")</f>
        <v>N/A</v>
      </c>
      <c r="O33" s="16" t="str">
        <f>IFERROR(SUM($H33:$I33)/$L33,"N/A")</f>
        <v>N/A</v>
      </c>
      <c r="P33" s="16" t="str">
        <f>IFERROR($I33/$L33,"N/A")</f>
        <v>N/A</v>
      </c>
      <c r="Q33" s="16" t="str">
        <f>IFERROR($J33/$K33,"N/A")</f>
        <v>N/A</v>
      </c>
    </row>
    <row r="34" spans="2:17" x14ac:dyDescent="0.35">
      <c r="B34" s="38" t="s">
        <v>73</v>
      </c>
      <c r="C34" s="37">
        <f t="shared" ref="C34:L34" si="10">+C$25+C$26</f>
        <v>0</v>
      </c>
      <c r="D34" s="37">
        <f t="shared" si="10"/>
        <v>0</v>
      </c>
      <c r="E34" s="37">
        <f t="shared" si="10"/>
        <v>0</v>
      </c>
      <c r="F34" s="37">
        <f t="shared" si="10"/>
        <v>0</v>
      </c>
      <c r="G34" s="37">
        <f t="shared" si="10"/>
        <v>0</v>
      </c>
      <c r="H34" s="37">
        <f t="shared" si="10"/>
        <v>0</v>
      </c>
      <c r="I34" s="37">
        <f t="shared" si="10"/>
        <v>0</v>
      </c>
      <c r="J34" s="37">
        <f t="shared" si="10"/>
        <v>0</v>
      </c>
      <c r="K34" s="43">
        <f t="shared" si="10"/>
        <v>0</v>
      </c>
      <c r="L34" s="37">
        <f t="shared" si="10"/>
        <v>0</v>
      </c>
      <c r="N34" s="12" t="str">
        <f>IFERROR(SUM($G34:$I34)/$L34,"N/A")</f>
        <v>N/A</v>
      </c>
      <c r="O34" s="12" t="str">
        <f>IFERROR(SUM($H34:$I34)/$L34,"N/A")</f>
        <v>N/A</v>
      </c>
      <c r="P34" s="12" t="str">
        <f>IFERROR($I34/$L34,"N/A")</f>
        <v>N/A</v>
      </c>
      <c r="Q34" s="12" t="str">
        <f>IFERROR($J34/$K34,"N/A")</f>
        <v>N/A</v>
      </c>
    </row>
    <row r="35" spans="2:17" x14ac:dyDescent="0.35">
      <c r="B35" s="45" t="s">
        <v>74</v>
      </c>
      <c r="C35" s="46">
        <f t="shared" ref="C35:L35" si="11">SUM(C$33:C$34)</f>
        <v>0</v>
      </c>
      <c r="D35" s="46">
        <f t="shared" si="11"/>
        <v>0</v>
      </c>
      <c r="E35" s="46">
        <f t="shared" si="11"/>
        <v>0</v>
      </c>
      <c r="F35" s="46">
        <f t="shared" si="11"/>
        <v>0</v>
      </c>
      <c r="G35" s="46">
        <f t="shared" si="11"/>
        <v>0</v>
      </c>
      <c r="H35" s="46">
        <f t="shared" si="11"/>
        <v>0</v>
      </c>
      <c r="I35" s="46">
        <f t="shared" si="11"/>
        <v>0</v>
      </c>
      <c r="J35" s="46">
        <f t="shared" si="11"/>
        <v>0</v>
      </c>
      <c r="K35" s="47">
        <f t="shared" si="11"/>
        <v>0</v>
      </c>
      <c r="L35" s="48">
        <f t="shared" si="11"/>
        <v>0</v>
      </c>
      <c r="N35" s="13" t="str">
        <f>IFERROR(SUM($G35:$I35)/$L35,"N/A")</f>
        <v>N/A</v>
      </c>
      <c r="O35" s="14" t="str">
        <f>IFERROR(SUM($H35:$I35)/$L35,"N/A")</f>
        <v>N/A</v>
      </c>
      <c r="P35" s="14" t="str">
        <f>IFERROR($I35/$L35,"N/A")</f>
        <v>N/A</v>
      </c>
      <c r="Q35" s="15" t="str">
        <f>IFERROR($J35/$K35,"N/A")</f>
        <v>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B1:BH6"/>
  <sheetViews>
    <sheetView showGridLines="0" zoomScale="85" zoomScaleNormal="85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4.26953125" customWidth="1"/>
    <col min="2" max="2" width="13.7265625" bestFit="1" customWidth="1"/>
    <col min="3" max="3" width="20.26953125" bestFit="1" customWidth="1"/>
    <col min="4" max="4" width="40.7265625" bestFit="1" customWidth="1"/>
    <col min="5" max="5" width="17.453125" bestFit="1" customWidth="1"/>
    <col min="6" max="6" width="15.453125" bestFit="1" customWidth="1"/>
    <col min="7" max="7" width="18.7265625" bestFit="1" customWidth="1"/>
    <col min="8" max="8" width="61.1796875" bestFit="1" customWidth="1"/>
    <col min="9" max="9" width="75.54296875" bestFit="1" customWidth="1"/>
    <col min="10" max="10" width="78" bestFit="1" customWidth="1"/>
    <col min="11" max="11" width="22.1796875" bestFit="1" customWidth="1"/>
    <col min="12" max="12" width="32.1796875" bestFit="1" customWidth="1"/>
    <col min="13" max="13" width="21.81640625" bestFit="1" customWidth="1"/>
    <col min="14" max="14" width="14.26953125" bestFit="1" customWidth="1"/>
    <col min="15" max="15" width="13.26953125" bestFit="1" customWidth="1"/>
    <col min="16" max="16" width="20.453125" bestFit="1" customWidth="1"/>
    <col min="17" max="17" width="21.81640625" bestFit="1" customWidth="1"/>
    <col min="18" max="19" width="25.453125" bestFit="1" customWidth="1"/>
    <col min="20" max="20" width="31" bestFit="1" customWidth="1"/>
    <col min="21" max="21" width="23.1796875" bestFit="1" customWidth="1"/>
    <col min="22" max="22" width="18.81640625" bestFit="1" customWidth="1"/>
    <col min="23" max="23" width="27.453125" bestFit="1" customWidth="1"/>
    <col min="24" max="24" width="22.54296875" bestFit="1" customWidth="1"/>
    <col min="25" max="25" width="26.1796875" bestFit="1" customWidth="1"/>
    <col min="26" max="26" width="19" customWidth="1"/>
    <col min="27" max="27" width="22.1796875" bestFit="1" customWidth="1"/>
    <col min="28" max="28" width="28" bestFit="1" customWidth="1"/>
    <col min="29" max="29" width="31" bestFit="1" customWidth="1"/>
    <col min="30" max="30" width="27.54296875" bestFit="1" customWidth="1"/>
    <col min="31" max="31" width="21" bestFit="1" customWidth="1"/>
    <col min="32" max="32" width="31.7265625" bestFit="1" customWidth="1"/>
    <col min="33" max="33" width="25" bestFit="1" customWidth="1"/>
    <col min="34" max="34" width="26.453125" bestFit="1" customWidth="1"/>
    <col min="35" max="35" width="29.26953125" bestFit="1" customWidth="1"/>
    <col min="36" max="36" width="22.453125" bestFit="1" customWidth="1"/>
    <col min="37" max="37" width="29.7265625" bestFit="1" customWidth="1"/>
    <col min="38" max="38" width="15.54296875" bestFit="1" customWidth="1"/>
    <col min="39" max="39" width="21.7265625" bestFit="1" customWidth="1"/>
    <col min="40" max="40" width="25.26953125" customWidth="1"/>
    <col min="41" max="41" width="21.453125" bestFit="1" customWidth="1"/>
    <col min="42" max="42" width="21.26953125" bestFit="1" customWidth="1"/>
    <col min="43" max="43" width="26.26953125" bestFit="1" customWidth="1"/>
    <col min="44" max="44" width="33.54296875" bestFit="1" customWidth="1"/>
    <col min="45" max="45" width="22" bestFit="1" customWidth="1"/>
    <col min="46" max="46" width="19.1796875" bestFit="1" customWidth="1"/>
    <col min="47" max="47" width="14.7265625" bestFit="1" customWidth="1"/>
    <col min="48" max="48" width="38.453125" bestFit="1" customWidth="1"/>
    <col min="49" max="49" width="73.453125" bestFit="1" customWidth="1"/>
    <col min="50" max="50" width="27.54296875" bestFit="1" customWidth="1"/>
    <col min="51" max="51" width="15.1796875" bestFit="1" customWidth="1"/>
    <col min="52" max="52" width="20.1796875" bestFit="1" customWidth="1"/>
    <col min="53" max="53" width="23.26953125" bestFit="1" customWidth="1"/>
    <col min="54" max="54" width="23.1796875" bestFit="1" customWidth="1"/>
    <col min="55" max="55" width="23.26953125" bestFit="1" customWidth="1"/>
    <col min="56" max="56" width="20.453125" bestFit="1" customWidth="1"/>
    <col min="57" max="57" width="23.26953125" bestFit="1" customWidth="1"/>
    <col min="58" max="58" width="22" bestFit="1" customWidth="1"/>
    <col min="59" max="59" width="22.1796875" bestFit="1" customWidth="1"/>
    <col min="60" max="60" width="75.7265625" customWidth="1"/>
  </cols>
  <sheetData>
    <row r="1" spans="2:60" x14ac:dyDescent="0.35">
      <c r="V1" s="10" t="s">
        <v>75</v>
      </c>
    </row>
    <row r="2" spans="2:60" ht="15" customHeight="1" x14ac:dyDescent="0.45">
      <c r="B2" s="59" t="s">
        <v>76</v>
      </c>
    </row>
    <row r="3" spans="2:60" ht="15" customHeight="1" x14ac:dyDescent="0.35"/>
    <row r="4" spans="2:60" ht="15" customHeight="1" x14ac:dyDescent="0.35">
      <c r="V4" s="36">
        <f>+'Bridge Asset'!$CP$4</f>
        <v>46178</v>
      </c>
      <c r="Z4" s="37">
        <f>SUBTOTAL(9,Z6:Z1060)</f>
        <v>0</v>
      </c>
    </row>
    <row r="5" spans="2:60" ht="45" customHeight="1" x14ac:dyDescent="0.35">
      <c r="B5" s="27" t="s">
        <v>77</v>
      </c>
      <c r="C5" s="27" t="s">
        <v>78</v>
      </c>
      <c r="D5" s="27" t="s">
        <v>79</v>
      </c>
      <c r="E5" s="27" t="s">
        <v>80</v>
      </c>
      <c r="F5" s="27" t="s">
        <v>81</v>
      </c>
      <c r="G5" s="27" t="s">
        <v>82</v>
      </c>
      <c r="H5" s="27" t="s">
        <v>83</v>
      </c>
      <c r="I5" s="27" t="s">
        <v>84</v>
      </c>
      <c r="J5" s="27" t="s">
        <v>85</v>
      </c>
      <c r="K5" s="27" t="s">
        <v>86</v>
      </c>
      <c r="L5" s="27" t="s">
        <v>87</v>
      </c>
      <c r="M5" s="27" t="s">
        <v>88</v>
      </c>
      <c r="N5" s="27" t="s">
        <v>89</v>
      </c>
      <c r="O5" s="27" t="s">
        <v>90</v>
      </c>
      <c r="P5" s="27" t="s">
        <v>91</v>
      </c>
      <c r="Q5" s="27" t="s">
        <v>92</v>
      </c>
      <c r="R5" s="27" t="s">
        <v>93</v>
      </c>
      <c r="S5" s="27" t="s">
        <v>94</v>
      </c>
      <c r="T5" s="27" t="s">
        <v>95</v>
      </c>
      <c r="U5" s="27" t="s">
        <v>96</v>
      </c>
      <c r="V5" s="27" t="s">
        <v>97</v>
      </c>
      <c r="W5" s="27" t="s">
        <v>98</v>
      </c>
      <c r="X5" s="27" t="s">
        <v>99</v>
      </c>
      <c r="Y5" s="27" t="s">
        <v>100</v>
      </c>
      <c r="Z5" s="27" t="str">
        <f>+'Bridge Asset'!$AJ$5</f>
        <v>6/5 UPB</v>
      </c>
      <c r="AA5" s="27" t="s">
        <v>101</v>
      </c>
      <c r="AB5" s="27" t="s">
        <v>102</v>
      </c>
      <c r="AC5" s="27" t="s">
        <v>103</v>
      </c>
      <c r="AD5" s="27" t="s">
        <v>104</v>
      </c>
      <c r="AE5" s="27" t="s">
        <v>105</v>
      </c>
      <c r="AF5" s="27" t="s">
        <v>106</v>
      </c>
      <c r="AG5" s="27" t="s">
        <v>107</v>
      </c>
      <c r="AH5" s="27" t="s">
        <v>108</v>
      </c>
      <c r="AI5" s="27" t="s">
        <v>109</v>
      </c>
      <c r="AJ5" s="27" t="s">
        <v>110</v>
      </c>
      <c r="AK5" s="27" t="s">
        <v>111</v>
      </c>
      <c r="AL5" s="27" t="s">
        <v>112</v>
      </c>
      <c r="AM5" s="27" t="s">
        <v>113</v>
      </c>
      <c r="AN5" s="27" t="s">
        <v>114</v>
      </c>
      <c r="AO5" s="27" t="s">
        <v>115</v>
      </c>
      <c r="AP5" s="27" t="s">
        <v>116</v>
      </c>
      <c r="AQ5" s="27" t="s">
        <v>117</v>
      </c>
      <c r="AR5" s="27" t="s">
        <v>118</v>
      </c>
      <c r="AS5" s="27" t="s">
        <v>119</v>
      </c>
      <c r="AT5" s="27" t="s">
        <v>120</v>
      </c>
      <c r="AU5" s="27" t="s">
        <v>121</v>
      </c>
      <c r="AV5" s="27" t="s">
        <v>122</v>
      </c>
      <c r="AW5" s="27" t="s">
        <v>123</v>
      </c>
      <c r="AX5" s="27" t="s">
        <v>124</v>
      </c>
      <c r="AY5" s="27" t="s">
        <v>125</v>
      </c>
      <c r="AZ5" s="27" t="s">
        <v>126</v>
      </c>
      <c r="BA5" s="27" t="s">
        <v>127</v>
      </c>
      <c r="BB5" s="27" t="s">
        <v>128</v>
      </c>
      <c r="BC5" s="27" t="s">
        <v>129</v>
      </c>
      <c r="BD5" s="27" t="s">
        <v>130</v>
      </c>
      <c r="BE5" s="27" t="s">
        <v>131</v>
      </c>
      <c r="BF5" s="27" t="s">
        <v>132</v>
      </c>
      <c r="BG5" s="27" t="s">
        <v>133</v>
      </c>
      <c r="BH5" s="27" t="s">
        <v>134</v>
      </c>
    </row>
    <row r="6" spans="2:60" x14ac:dyDescent="0.35">
      <c r="V6" s="10">
        <f>+$V$4-$U6</f>
        <v>46178</v>
      </c>
    </row>
  </sheetData>
  <autoFilter ref="B5:BH1060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79998168889431442"/>
  </sheetPr>
  <dimension ref="B1:DF6"/>
  <sheetViews>
    <sheetView showGridLines="0" tabSelected="1" topLeftCell="CS1" zoomScale="85" zoomScaleNormal="85" workbookViewId="0">
      <pane ySplit="5" topLeftCell="A6" activePane="bottomLeft" state="frozen"/>
      <selection pane="bottomLeft" activeCell="DE6" sqref="DE6"/>
    </sheetView>
  </sheetViews>
  <sheetFormatPr defaultRowHeight="14.5" x14ac:dyDescent="0.35"/>
  <cols>
    <col min="1" max="1" width="4.26953125" customWidth="1"/>
    <col min="2" max="2" width="15.26953125" customWidth="1"/>
    <col min="3" max="3" width="20.26953125" bestFit="1" customWidth="1"/>
    <col min="4" max="4" width="40.7265625" bestFit="1" customWidth="1"/>
    <col min="5" max="5" width="17.453125" bestFit="1" customWidth="1"/>
    <col min="6" max="6" width="15.453125" bestFit="1" customWidth="1"/>
    <col min="7" max="7" width="18.7265625" bestFit="1" customWidth="1"/>
    <col min="8" max="8" width="15.26953125" bestFit="1" customWidth="1"/>
    <col min="9" max="9" width="13.54296875" bestFit="1" customWidth="1"/>
    <col min="10" max="10" width="61.1796875" bestFit="1" customWidth="1"/>
    <col min="11" max="11" width="75.54296875" bestFit="1" customWidth="1"/>
    <col min="12" max="12" width="78" bestFit="1" customWidth="1"/>
    <col min="13" max="13" width="22.1796875" bestFit="1" customWidth="1"/>
    <col min="14" max="14" width="32.1796875" bestFit="1" customWidth="1"/>
    <col min="15" max="15" width="77.26953125" bestFit="1" customWidth="1"/>
    <col min="16" max="16" width="22.453125" bestFit="1" customWidth="1"/>
    <col min="17" max="17" width="10.81640625" bestFit="1" customWidth="1"/>
    <col min="18" max="18" width="13.26953125" bestFit="1" customWidth="1"/>
    <col min="19" max="19" width="19" bestFit="1" customWidth="1"/>
    <col min="20" max="20" width="45.1796875" bestFit="1" customWidth="1"/>
    <col min="21" max="21" width="13.7265625" customWidth="1"/>
    <col min="22" max="22" width="20.1796875" bestFit="1" customWidth="1"/>
    <col min="23" max="23" width="14.26953125" bestFit="1" customWidth="1"/>
    <col min="24" max="24" width="21.453125" bestFit="1" customWidth="1"/>
    <col min="25" max="25" width="16.26953125" bestFit="1" customWidth="1"/>
    <col min="26" max="26" width="20.453125" bestFit="1" customWidth="1"/>
    <col min="27" max="27" width="22.1796875" bestFit="1" customWidth="1"/>
    <col min="28" max="28" width="21.81640625" bestFit="1" customWidth="1"/>
    <col min="29" max="29" width="23.1796875" bestFit="1" customWidth="1"/>
    <col min="30" max="31" width="30.1796875" bestFit="1" customWidth="1"/>
    <col min="32" max="32" width="30.81640625" bestFit="1" customWidth="1"/>
    <col min="33" max="33" width="31.1796875" bestFit="1" customWidth="1"/>
    <col min="34" max="34" width="31.1796875" customWidth="1"/>
    <col min="35" max="35" width="22.54296875" bestFit="1" customWidth="1"/>
    <col min="36" max="36" width="21.54296875" customWidth="1"/>
    <col min="37" max="37" width="22.1796875" bestFit="1" customWidth="1"/>
    <col min="38" max="38" width="23.1796875" bestFit="1" customWidth="1"/>
    <col min="39" max="39" width="23.26953125" bestFit="1" customWidth="1"/>
    <col min="40" max="40" width="20.453125" bestFit="1" customWidth="1"/>
    <col min="41" max="41" width="23.26953125" bestFit="1" customWidth="1"/>
    <col min="42" max="42" width="22" bestFit="1" customWidth="1"/>
    <col min="43" max="43" width="22.1796875" bestFit="1" customWidth="1"/>
    <col min="44" max="44" width="35.1796875" bestFit="1" customWidth="1"/>
    <col min="45" max="45" width="23.1796875" bestFit="1" customWidth="1"/>
    <col min="46" max="46" width="19.26953125" bestFit="1" customWidth="1"/>
    <col min="47" max="47" width="25" bestFit="1" customWidth="1"/>
    <col min="48" max="48" width="24" bestFit="1" customWidth="1"/>
    <col min="49" max="49" width="27.26953125" bestFit="1" customWidth="1"/>
    <col min="50" max="50" width="37.453125" bestFit="1" customWidth="1"/>
    <col min="51" max="51" width="32.26953125" bestFit="1" customWidth="1"/>
    <col min="52" max="52" width="26.81640625" bestFit="1" customWidth="1"/>
    <col min="53" max="54" width="26.81640625" customWidth="1"/>
    <col min="55" max="55" width="14.453125" bestFit="1" customWidth="1"/>
    <col min="56" max="56" width="23.81640625" bestFit="1" customWidth="1"/>
    <col min="57" max="57" width="26.26953125" bestFit="1" customWidth="1"/>
    <col min="58" max="58" width="19.81640625" bestFit="1" customWidth="1"/>
    <col min="59" max="59" width="36.54296875" bestFit="1" customWidth="1"/>
    <col min="60" max="60" width="27.1796875" bestFit="1" customWidth="1"/>
    <col min="61" max="61" width="23.7265625" bestFit="1" customWidth="1"/>
    <col min="62" max="62" width="17.26953125" bestFit="1" customWidth="1"/>
    <col min="63" max="63" width="31.7265625" bestFit="1" customWidth="1"/>
    <col min="64" max="64" width="25" bestFit="1" customWidth="1"/>
    <col min="65" max="65" width="32.453125" bestFit="1" customWidth="1"/>
    <col min="66" max="66" width="35.453125" bestFit="1" customWidth="1"/>
    <col min="67" max="67" width="22.453125" bestFit="1" customWidth="1"/>
    <col min="68" max="68" width="29.7265625" bestFit="1" customWidth="1"/>
    <col min="69" max="69" width="107" bestFit="1" customWidth="1"/>
    <col min="70" max="70" width="17.453125" bestFit="1" customWidth="1"/>
    <col min="71" max="71" width="18.54296875" bestFit="1" customWidth="1"/>
    <col min="72" max="72" width="20.81640625" bestFit="1" customWidth="1"/>
    <col min="73" max="73" width="21.7265625" bestFit="1" customWidth="1"/>
    <col min="74" max="74" width="21.453125" bestFit="1" customWidth="1"/>
    <col min="75" max="75" width="21.54296875" bestFit="1" customWidth="1"/>
    <col min="76" max="76" width="26.26953125" bestFit="1" customWidth="1"/>
    <col min="77" max="77" width="33.54296875" bestFit="1" customWidth="1"/>
    <col min="78" max="78" width="22" bestFit="1" customWidth="1"/>
    <col min="79" max="79" width="18.1796875" bestFit="1" customWidth="1"/>
    <col min="80" max="80" width="19.1796875" bestFit="1" customWidth="1"/>
    <col min="81" max="81" width="14.7265625" bestFit="1" customWidth="1"/>
    <col min="82" max="82" width="38.453125" bestFit="1" customWidth="1"/>
    <col min="83" max="83" width="73.453125" bestFit="1" customWidth="1"/>
    <col min="84" max="84" width="27.54296875" bestFit="1" customWidth="1"/>
    <col min="85" max="85" width="15.54296875" bestFit="1" customWidth="1"/>
    <col min="86" max="86" width="19.54296875" bestFit="1" customWidth="1"/>
    <col min="87" max="87" width="19.26953125" bestFit="1" customWidth="1"/>
    <col min="88" max="88" width="26" bestFit="1" customWidth="1"/>
    <col min="89" max="89" width="9.1796875" customWidth="1"/>
    <col min="90" max="90" width="17.7265625" bestFit="1" customWidth="1"/>
    <col min="91" max="91" width="20.81640625" bestFit="1" customWidth="1"/>
    <col min="92" max="92" width="23.453125" bestFit="1" customWidth="1"/>
    <col min="93" max="93" width="17.81640625" bestFit="1" customWidth="1"/>
    <col min="94" max="94" width="20.26953125" bestFit="1" customWidth="1"/>
    <col min="95" max="95" width="18.81640625" bestFit="1" customWidth="1"/>
    <col min="96" max="96" width="15" bestFit="1" customWidth="1"/>
    <col min="97" max="97" width="31" bestFit="1" customWidth="1"/>
    <col min="98" max="98" width="27.54296875" bestFit="1" customWidth="1"/>
    <col min="99" max="99" width="21" bestFit="1" customWidth="1"/>
    <col min="100" max="100" width="21" customWidth="1"/>
    <col min="101" max="101" width="21" bestFit="1" customWidth="1"/>
    <col min="102" max="102" width="21" customWidth="1"/>
    <col min="103" max="103" width="17.1796875" bestFit="1" customWidth="1"/>
    <col min="104" max="104" width="20.26953125" bestFit="1" customWidth="1"/>
    <col min="105" max="105" width="20.26953125" customWidth="1"/>
    <col min="106" max="106" width="22.453125" bestFit="1" customWidth="1"/>
    <col min="107" max="107" width="22" bestFit="1" customWidth="1"/>
    <col min="108" max="108" width="17.81640625" bestFit="1" customWidth="1"/>
    <col min="109" max="109" width="20" bestFit="1" customWidth="1"/>
    <col min="110" max="110" width="16.453125" bestFit="1" customWidth="1"/>
  </cols>
  <sheetData>
    <row r="1" spans="2:110" ht="15" customHeight="1" x14ac:dyDescent="0.35">
      <c r="AI1" s="10" t="s">
        <v>75</v>
      </c>
      <c r="CL1" s="10" t="s">
        <v>75</v>
      </c>
      <c r="CM1" s="10" t="s">
        <v>75</v>
      </c>
      <c r="CN1" s="10" t="s">
        <v>75</v>
      </c>
      <c r="CO1" s="10" t="s">
        <v>75</v>
      </c>
      <c r="CP1" s="10" t="s">
        <v>75</v>
      </c>
      <c r="CQ1" s="10" t="s">
        <v>75</v>
      </c>
      <c r="CR1" s="10" t="s">
        <v>75</v>
      </c>
      <c r="CS1" s="10" t="s">
        <v>75</v>
      </c>
      <c r="CT1" s="10" t="s">
        <v>75</v>
      </c>
      <c r="CU1" s="10" t="s">
        <v>75</v>
      </c>
      <c r="CV1" s="10" t="s">
        <v>75</v>
      </c>
      <c r="CW1" s="10" t="s">
        <v>75</v>
      </c>
      <c r="CX1" s="10" t="s">
        <v>75</v>
      </c>
      <c r="CY1" s="10" t="s">
        <v>75</v>
      </c>
      <c r="CZ1" s="10" t="s">
        <v>75</v>
      </c>
      <c r="DA1" s="10" t="s">
        <v>75</v>
      </c>
      <c r="DB1" s="10" t="s">
        <v>75</v>
      </c>
      <c r="DC1" s="10" t="s">
        <v>75</v>
      </c>
      <c r="DD1" s="10" t="s">
        <v>75</v>
      </c>
      <c r="DE1" s="10" t="s">
        <v>75</v>
      </c>
      <c r="DF1" s="10" t="s">
        <v>75</v>
      </c>
    </row>
    <row r="2" spans="2:110" ht="15" customHeight="1" x14ac:dyDescent="0.45">
      <c r="B2" s="59" t="s">
        <v>135</v>
      </c>
      <c r="AI2" s="9"/>
      <c r="DA2" s="9"/>
      <c r="DB2" s="9"/>
      <c r="DC2" s="9"/>
      <c r="DD2" s="9"/>
      <c r="DE2" s="9"/>
      <c r="DF2" s="9"/>
    </row>
    <row r="3" spans="2:110" ht="15" customHeight="1" x14ac:dyDescent="0.35">
      <c r="DE3" s="25">
        <v>46203</v>
      </c>
    </row>
    <row r="4" spans="2:110" ht="15" customHeight="1" x14ac:dyDescent="0.35">
      <c r="AJ4" s="32">
        <f>SUBTOTAL(9,AJ6:AJ4695)</f>
        <v>0</v>
      </c>
      <c r="CP4" s="25">
        <v>46178</v>
      </c>
      <c r="CQ4" s="25">
        <f>+$CP$4</f>
        <v>46178</v>
      </c>
      <c r="CV4" s="25">
        <f>EDATE(DE3,-6)</f>
        <v>46021</v>
      </c>
      <c r="DE4" s="25">
        <f>+$DE$3-90</f>
        <v>46113</v>
      </c>
    </row>
    <row r="5" spans="2:110" ht="45" customHeight="1" x14ac:dyDescent="0.35">
      <c r="B5" s="33" t="s">
        <v>77</v>
      </c>
      <c r="C5" s="33" t="s">
        <v>78</v>
      </c>
      <c r="D5" s="33" t="s">
        <v>79</v>
      </c>
      <c r="E5" s="33" t="s">
        <v>80</v>
      </c>
      <c r="F5" s="33" t="s">
        <v>81</v>
      </c>
      <c r="G5" s="33" t="s">
        <v>82</v>
      </c>
      <c r="H5" s="33" t="s">
        <v>136</v>
      </c>
      <c r="I5" s="33" t="s">
        <v>137</v>
      </c>
      <c r="J5" s="33" t="s">
        <v>83</v>
      </c>
      <c r="K5" s="33" t="s">
        <v>138</v>
      </c>
      <c r="L5" s="33" t="s">
        <v>139</v>
      </c>
      <c r="M5" s="33" t="s">
        <v>86</v>
      </c>
      <c r="N5" s="33" t="s">
        <v>87</v>
      </c>
      <c r="O5" s="33" t="s">
        <v>140</v>
      </c>
      <c r="P5" s="33" t="s">
        <v>141</v>
      </c>
      <c r="Q5" s="33" t="s">
        <v>142</v>
      </c>
      <c r="R5" s="33" t="s">
        <v>143</v>
      </c>
      <c r="S5" s="33" t="s">
        <v>144</v>
      </c>
      <c r="T5" s="33" t="s">
        <v>145</v>
      </c>
      <c r="U5" s="33" t="s">
        <v>146</v>
      </c>
      <c r="V5" s="33" t="s">
        <v>147</v>
      </c>
      <c r="W5" s="33" t="s">
        <v>89</v>
      </c>
      <c r="X5" s="33" t="s">
        <v>148</v>
      </c>
      <c r="Y5" s="33" t="s">
        <v>149</v>
      </c>
      <c r="Z5" s="33" t="s">
        <v>91</v>
      </c>
      <c r="AA5" s="33" t="s">
        <v>150</v>
      </c>
      <c r="AB5" s="33" t="s">
        <v>92</v>
      </c>
      <c r="AC5" s="33" t="s">
        <v>96</v>
      </c>
      <c r="AD5" s="33" t="s">
        <v>151</v>
      </c>
      <c r="AE5" s="33" t="s">
        <v>152</v>
      </c>
      <c r="AF5" s="33" t="s">
        <v>153</v>
      </c>
      <c r="AG5" s="33" t="s">
        <v>154</v>
      </c>
      <c r="AH5" s="33" t="s">
        <v>155</v>
      </c>
      <c r="AI5" s="33" t="s">
        <v>156</v>
      </c>
      <c r="AJ5" s="33" t="s">
        <v>157</v>
      </c>
      <c r="AK5" s="33" t="s">
        <v>101</v>
      </c>
      <c r="AL5" s="33" t="s">
        <v>128</v>
      </c>
      <c r="AM5" s="33" t="s">
        <v>129</v>
      </c>
      <c r="AN5" s="33" t="s">
        <v>130</v>
      </c>
      <c r="AO5" s="33" t="s">
        <v>131</v>
      </c>
      <c r="AP5" s="33" t="s">
        <v>132</v>
      </c>
      <c r="AQ5" s="33" t="s">
        <v>133</v>
      </c>
      <c r="AR5" s="33" t="s">
        <v>158</v>
      </c>
      <c r="AS5" s="33" t="s">
        <v>159</v>
      </c>
      <c r="AT5" s="33" t="s">
        <v>160</v>
      </c>
      <c r="AU5" s="33" t="s">
        <v>161</v>
      </c>
      <c r="AV5" s="33" t="s">
        <v>162</v>
      </c>
      <c r="AW5" s="33" t="s">
        <v>163</v>
      </c>
      <c r="AX5" s="33" t="s">
        <v>164</v>
      </c>
      <c r="AY5" s="33" t="s">
        <v>165</v>
      </c>
      <c r="AZ5" s="33" t="s">
        <v>166</v>
      </c>
      <c r="BA5" s="33" t="s">
        <v>167</v>
      </c>
      <c r="BB5" s="33" t="s">
        <v>168</v>
      </c>
      <c r="BC5" s="33" t="s">
        <v>169</v>
      </c>
      <c r="BD5" s="33" t="s">
        <v>170</v>
      </c>
      <c r="BE5" s="33" t="s">
        <v>171</v>
      </c>
      <c r="BF5" s="33" t="s">
        <v>172</v>
      </c>
      <c r="BG5" s="33" t="s">
        <v>173</v>
      </c>
      <c r="BH5" s="33" t="s">
        <v>174</v>
      </c>
      <c r="BI5" s="33" t="s">
        <v>175</v>
      </c>
      <c r="BJ5" s="33" t="s">
        <v>176</v>
      </c>
      <c r="BK5" s="33" t="s">
        <v>106</v>
      </c>
      <c r="BL5" s="33" t="s">
        <v>107</v>
      </c>
      <c r="BM5" s="33" t="s">
        <v>177</v>
      </c>
      <c r="BN5" s="33" t="s">
        <v>178</v>
      </c>
      <c r="BO5" s="33" t="s">
        <v>110</v>
      </c>
      <c r="BP5" s="33" t="s">
        <v>111</v>
      </c>
      <c r="BQ5" s="33" t="s">
        <v>179</v>
      </c>
      <c r="BR5" s="33" t="s">
        <v>180</v>
      </c>
      <c r="BS5" s="33" t="s">
        <v>181</v>
      </c>
      <c r="BT5" s="33" t="s">
        <v>182</v>
      </c>
      <c r="BU5" s="33" t="s">
        <v>113</v>
      </c>
      <c r="BV5" s="33" t="s">
        <v>115</v>
      </c>
      <c r="BW5" s="33" t="s">
        <v>183</v>
      </c>
      <c r="BX5" s="33" t="s">
        <v>184</v>
      </c>
      <c r="BY5" s="33" t="s">
        <v>118</v>
      </c>
      <c r="BZ5" s="33" t="s">
        <v>119</v>
      </c>
      <c r="CA5" s="33" t="s">
        <v>185</v>
      </c>
      <c r="CB5" s="33" t="s">
        <v>186</v>
      </c>
      <c r="CC5" s="33" t="s">
        <v>121</v>
      </c>
      <c r="CD5" s="33" t="s">
        <v>122</v>
      </c>
      <c r="CE5" s="33" t="s">
        <v>123</v>
      </c>
      <c r="CF5" s="33" t="s">
        <v>124</v>
      </c>
      <c r="CG5" s="33" t="s">
        <v>112</v>
      </c>
      <c r="CH5" s="33" t="s">
        <v>187</v>
      </c>
      <c r="CI5" s="33" t="s">
        <v>188</v>
      </c>
      <c r="CJ5" s="33" t="s">
        <v>189</v>
      </c>
      <c r="CK5" s="35"/>
      <c r="CL5" s="30" t="s">
        <v>114</v>
      </c>
      <c r="CM5" s="30" t="s">
        <v>190</v>
      </c>
      <c r="CN5" s="30" t="s">
        <v>191</v>
      </c>
      <c r="CO5" s="30" t="s">
        <v>192</v>
      </c>
      <c r="CP5" s="30" t="s">
        <v>193</v>
      </c>
      <c r="CQ5" s="30" t="s">
        <v>97</v>
      </c>
      <c r="CR5" s="30" t="s">
        <v>194</v>
      </c>
      <c r="CS5" s="30" t="s">
        <v>103</v>
      </c>
      <c r="CT5" s="30" t="s">
        <v>104</v>
      </c>
      <c r="CU5" s="30" t="s">
        <v>105</v>
      </c>
      <c r="CV5" s="30" t="s">
        <v>126</v>
      </c>
      <c r="CW5" s="30" t="s">
        <v>195</v>
      </c>
      <c r="CX5" s="30" t="s">
        <v>196</v>
      </c>
      <c r="CY5" s="30" t="s">
        <v>197</v>
      </c>
      <c r="CZ5" s="30" t="s">
        <v>198</v>
      </c>
      <c r="DA5" s="30" t="s">
        <v>199</v>
      </c>
      <c r="DB5" s="30" t="s">
        <v>200</v>
      </c>
      <c r="DC5" s="30" t="s">
        <v>201</v>
      </c>
      <c r="DD5" s="30" t="s">
        <v>202</v>
      </c>
      <c r="DE5" s="30" t="s">
        <v>203</v>
      </c>
      <c r="DF5" s="30" t="s">
        <v>204</v>
      </c>
    </row>
    <row r="6" spans="2:110" x14ac:dyDescent="0.35">
      <c r="AI6" s="34">
        <f>+$BK6+$BM6+$BP6</f>
        <v>0</v>
      </c>
      <c r="CL6" s="25">
        <f>IF($B6="5A","5A Bridge",IF($B6="TPO","Purchased Bridge",IF($B6="RB","Single Asset Bridge",$BV6)))</f>
        <v>0</v>
      </c>
      <c r="CM6" s="25">
        <f>IF(OR($BV6="Credit Line",$BW6="Line of Credit"),$AG6,$AE6)</f>
        <v>0</v>
      </c>
      <c r="CN6" s="10">
        <f>IFERROR($CM6-$CJ6,"N/A")</f>
        <v>0</v>
      </c>
      <c r="CO6" s="25">
        <f>IF($CJ6&lt;&gt;"N/A",$CJ6,$CM6)</f>
        <v>0</v>
      </c>
      <c r="CP6" s="10">
        <f>+$CO6-$CP$4</f>
        <v>-46178</v>
      </c>
      <c r="CQ6" s="10">
        <f>+$CQ$4-$AC6</f>
        <v>46178</v>
      </c>
      <c r="CR6" s="10" t="str">
        <f>IF($BC6&lt;&gt;"N/A","REO",IF(AND($CQ6&gt;0,$CQ6&lt;30),"DQ 1-29",IF(AND($CQ6&gt;=30,$CQ6&lt;60),"DQ 30-59",IF(AND($CQ6&gt;=60,$CQ6&lt;90),"DQ 60-89",IF($CQ6&gt;=90,"DQ 90+","Current")))))</f>
        <v>REO</v>
      </c>
      <c r="CS6" s="25">
        <f>IF($BH6&lt;&gt;"N/A",$BH6,$BD6)</f>
        <v>0</v>
      </c>
      <c r="CT6" s="34">
        <f>IF($BH6&lt;&gt;"N/A",$BI6,$BE6)</f>
        <v>0</v>
      </c>
      <c r="CU6" s="34">
        <f>IF($BH6&lt;&gt;"N/A",$BJ6,$BF6)</f>
        <v>0</v>
      </c>
      <c r="CV6" s="34" t="str">
        <f>IF(AND($DE6="Y",$CS6&lt;$CV$4),"Y","N")</f>
        <v>Y</v>
      </c>
      <c r="CW6" s="10" t="str">
        <f>IF(OR($BU6="Securitized Bridge",AND($D6="CAFL 2026-R1 CV",$BU6="Legacy")),"Y","N")</f>
        <v>N</v>
      </c>
      <c r="CX6" s="34" t="str">
        <f>IF($BU6="SSP","Y","N")</f>
        <v>N</v>
      </c>
      <c r="CY6" s="10" t="str">
        <f>IF($BU6="CPP JV","Y","N")</f>
        <v>N</v>
      </c>
      <c r="CZ6" s="10" t="str">
        <f>IF($BU6="Oaktree JV","Y","N")</f>
        <v>N</v>
      </c>
      <c r="DA6" s="10" t="str">
        <f>IF($BU6="Legacy","Y","N")</f>
        <v>N</v>
      </c>
      <c r="DB6" s="10" t="str">
        <f>IF(_xlfn.MINIFS($CP:$CP,$E:$E,$E6)&lt;0,"Y","N")</f>
        <v>N</v>
      </c>
      <c r="DC6" s="10" t="str">
        <f>IF(_xlfn.MAXIFS($CQ:$CQ,$E:$E,$E6)&gt;=45,"Y","N")</f>
        <v>N</v>
      </c>
      <c r="DD6" s="10" t="str">
        <f>IFERROR(VLOOKUP($AL6,'Strategy Groupings'!$F$4:$G$14,2,0),"N")</f>
        <v>N</v>
      </c>
      <c r="DE6" s="10" t="str">
        <f>IF(AND($D6&lt;&gt;"Sold",_xlfn.MINIFS($AC:$AC,$E:$E,$E6)&lt;$DE$4),"Y","N")</f>
        <v>Y</v>
      </c>
      <c r="DF6" s="10" t="str">
        <f>IF(AND($D6&lt;&gt;"Sold",OR($DA6="Y",$DB6="Y",$DC6="Y",$DD6="Y")),"Y","N")</f>
        <v>N</v>
      </c>
    </row>
  </sheetData>
  <autoFilter ref="B5:DF4695" xr:uid="{00000000-0009-0000-0000-000003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79998168889431442"/>
  </sheetPr>
  <dimension ref="B1:AH6"/>
  <sheetViews>
    <sheetView showGridLines="0" zoomScale="85" zoomScaleNormal="85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4.26953125" customWidth="1"/>
    <col min="2" max="2" width="17.453125" bestFit="1" customWidth="1"/>
    <col min="3" max="3" width="17.54296875" customWidth="1"/>
    <col min="4" max="4" width="16.26953125" customWidth="1"/>
    <col min="5" max="5" width="15.26953125" bestFit="1" customWidth="1"/>
    <col min="6" max="6" width="70" bestFit="1" customWidth="1"/>
    <col min="7" max="7" width="70.453125" bestFit="1" customWidth="1"/>
    <col min="8" max="8" width="42.26953125" bestFit="1" customWidth="1"/>
    <col min="9" max="9" width="22.1796875" bestFit="1" customWidth="1"/>
    <col min="10" max="10" width="15.54296875" bestFit="1" customWidth="1"/>
    <col min="11" max="11" width="21.7265625" bestFit="1" customWidth="1"/>
    <col min="12" max="12" width="22.54296875" bestFit="1" customWidth="1"/>
    <col min="13" max="13" width="12.453125" bestFit="1" customWidth="1"/>
    <col min="14" max="14" width="29.1796875" bestFit="1" customWidth="1"/>
    <col min="15" max="15" width="17.453125" bestFit="1" customWidth="1"/>
    <col min="16" max="16" width="18.26953125" customWidth="1"/>
    <col min="17" max="17" width="20.453125" bestFit="1" customWidth="1"/>
    <col min="18" max="18" width="17.81640625" bestFit="1" customWidth="1"/>
    <col min="19" max="19" width="23.1796875" bestFit="1" customWidth="1"/>
    <col min="20" max="20" width="14.453125" bestFit="1" customWidth="1"/>
    <col min="21" max="21" width="18.81640625" bestFit="1" customWidth="1"/>
    <col min="22" max="22" width="15" bestFit="1" customWidth="1"/>
    <col min="23" max="23" width="19.1796875" bestFit="1" customWidth="1"/>
    <col min="24" max="24" width="21.81640625" bestFit="1" customWidth="1"/>
    <col min="25" max="25" width="14.7265625" bestFit="1" customWidth="1"/>
    <col min="26" max="26" width="38.453125" bestFit="1" customWidth="1"/>
    <col min="27" max="27" width="40.54296875" bestFit="1" customWidth="1"/>
    <col min="28" max="28" width="27.54296875" bestFit="1" customWidth="1"/>
    <col min="29" max="29" width="75.7265625" customWidth="1"/>
    <col min="30" max="30" width="9.1796875" customWidth="1"/>
    <col min="31" max="31" width="15.6328125" customWidth="1"/>
    <col min="32" max="34" width="21.6328125" customWidth="1"/>
  </cols>
  <sheetData>
    <row r="1" spans="2:34" ht="15" customHeight="1" x14ac:dyDescent="0.35">
      <c r="U1" s="10" t="s">
        <v>75</v>
      </c>
      <c r="V1" s="10" t="s">
        <v>75</v>
      </c>
      <c r="AE1" s="10" t="s">
        <v>75</v>
      </c>
    </row>
    <row r="2" spans="2:34" ht="15" customHeight="1" x14ac:dyDescent="0.45">
      <c r="B2" s="59" t="s">
        <v>205</v>
      </c>
      <c r="AE2" s="25">
        <v>46203</v>
      </c>
    </row>
    <row r="3" spans="2:34" ht="15" customHeight="1" x14ac:dyDescent="0.35">
      <c r="B3" s="31"/>
    </row>
    <row r="4" spans="2:34" ht="15" customHeight="1" x14ac:dyDescent="0.35">
      <c r="P4" s="11">
        <f>SUBTOTAL(9,P6:P1192)</f>
        <v>0</v>
      </c>
      <c r="U4" s="24">
        <v>46178</v>
      </c>
      <c r="AE4" s="25">
        <f>+$AE$2-90</f>
        <v>46113</v>
      </c>
      <c r="AF4" s="10" t="s">
        <v>206</v>
      </c>
      <c r="AG4" s="10" t="s">
        <v>38</v>
      </c>
    </row>
    <row r="5" spans="2:34" ht="45" customHeight="1" x14ac:dyDescent="0.35">
      <c r="B5" s="28" t="s">
        <v>80</v>
      </c>
      <c r="C5" s="28" t="s">
        <v>81</v>
      </c>
      <c r="D5" s="28" t="s">
        <v>82</v>
      </c>
      <c r="E5" s="28" t="s">
        <v>136</v>
      </c>
      <c r="F5" s="28" t="s">
        <v>83</v>
      </c>
      <c r="G5" s="28" t="s">
        <v>138</v>
      </c>
      <c r="H5" s="28" t="s">
        <v>139</v>
      </c>
      <c r="I5" s="28" t="s">
        <v>86</v>
      </c>
      <c r="J5" s="28" t="s">
        <v>77</v>
      </c>
      <c r="K5" s="28" t="s">
        <v>113</v>
      </c>
      <c r="L5" s="28" t="s">
        <v>79</v>
      </c>
      <c r="M5" s="28" t="s">
        <v>27</v>
      </c>
      <c r="N5" s="28" t="s">
        <v>78</v>
      </c>
      <c r="O5" s="28" t="s">
        <v>207</v>
      </c>
      <c r="P5" s="28" t="s">
        <v>157</v>
      </c>
      <c r="Q5" s="28" t="s">
        <v>91</v>
      </c>
      <c r="R5" s="28" t="s">
        <v>192</v>
      </c>
      <c r="S5" s="28" t="s">
        <v>96</v>
      </c>
      <c r="T5" s="28" t="s">
        <v>169</v>
      </c>
      <c r="U5" s="28" t="s">
        <v>97</v>
      </c>
      <c r="V5" s="28" t="s">
        <v>194</v>
      </c>
      <c r="W5" s="28" t="s">
        <v>208</v>
      </c>
      <c r="X5" s="28" t="s">
        <v>186</v>
      </c>
      <c r="Y5" s="28" t="s">
        <v>121</v>
      </c>
      <c r="Z5" s="28" t="s">
        <v>122</v>
      </c>
      <c r="AA5" s="28" t="s">
        <v>123</v>
      </c>
      <c r="AB5" s="28" t="s">
        <v>124</v>
      </c>
      <c r="AC5" s="28" t="s">
        <v>134</v>
      </c>
      <c r="AD5" s="29"/>
      <c r="AE5" s="30" t="s">
        <v>204</v>
      </c>
      <c r="AF5" s="30" t="s">
        <v>209</v>
      </c>
      <c r="AG5" s="30" t="s">
        <v>210</v>
      </c>
      <c r="AH5" s="30" t="s">
        <v>119</v>
      </c>
    </row>
    <row r="6" spans="2:34" x14ac:dyDescent="0.35">
      <c r="U6" s="10">
        <f>+$U$4-$S6</f>
        <v>46178</v>
      </c>
      <c r="V6" s="10" t="str">
        <f>IF($T6&lt;&gt;"N/A","REO",IF(AND($U6&gt;0,$U6&lt;30),"DQ 1-29",IF(AND($U6&gt;=30,$U6&lt;60),"DQ 30-59",IF(AND($U6&gt;=60,$U6&lt;90),"DQ 60-89",IF($U6&gt;=90,"DQ 90+","Current")))))</f>
        <v>REO</v>
      </c>
      <c r="AE6" s="10" t="str">
        <f>IF(AND(OR($J6="Active Term",$J6="DSCR"),$S6&lt;=$AE$4,$V6&lt;&gt;"REO"),"Q2 NPL",IF(AND(OR($J6="Active Term",$J6="DSCR"),$V6="REO"),"Term REO",IF(AND($J6="Securitized Term",$V6="REO"),"CAFL REO",IF(AND(OR($J6="Active Term",$J6="DSCR"),$U6&gt;=45,$V6&lt;&gt;"REO"),"DQ 45+","N/A"))))</f>
        <v>N/A</v>
      </c>
      <c r="AF6" s="26">
        <f>SUMIFS('Term Asset'!$S:$S,'Term Asset'!$B:$B,'Term Loan'!$B6,'Term Asset'!$O:$O,'Term Loan'!AF$4)</f>
        <v>0</v>
      </c>
      <c r="AG6" s="26">
        <f>SUMIFS('Term Asset'!$S:$S,'Term Asset'!$B:$B,'Term Loan'!$B6,'Term Asset'!$O:$O,'Term Loan'!AG$4)</f>
        <v>0</v>
      </c>
      <c r="AH6" s="10" t="str">
        <f>IF($AF6&gt;$AG6,"Single Family Rental","Multifamily")</f>
        <v>Multifamily</v>
      </c>
    </row>
  </sheetData>
  <autoFilter ref="B5:AH1192" xr:uid="{00000000-0009-0000-0000-000004000000}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79998168889431442"/>
  </sheetPr>
  <dimension ref="B1:Y6"/>
  <sheetViews>
    <sheetView showGridLines="0" zoomScale="85" zoomScaleNormal="85" workbookViewId="0">
      <pane ySplit="5" topLeftCell="A6" activePane="bottomLeft" state="frozen"/>
      <selection pane="bottomLeft"/>
    </sheetView>
  </sheetViews>
  <sheetFormatPr defaultRowHeight="15" customHeight="1" x14ac:dyDescent="0.35"/>
  <cols>
    <col min="1" max="1" width="4.26953125" customWidth="1"/>
    <col min="2" max="2" width="17.453125" bestFit="1" customWidth="1"/>
    <col min="3" max="3" width="13.54296875" bestFit="1" customWidth="1"/>
    <col min="4" max="4" width="17.54296875" customWidth="1"/>
    <col min="5" max="5" width="21" customWidth="1"/>
    <col min="6" max="6" width="23.453125" customWidth="1"/>
    <col min="7" max="7" width="21" customWidth="1"/>
    <col min="8" max="8" width="56.81640625" bestFit="1" customWidth="1"/>
    <col min="9" max="9" width="23.1796875" bestFit="1" customWidth="1"/>
    <col min="10" max="10" width="10.81640625" bestFit="1" customWidth="1"/>
    <col min="11" max="11" width="13.81640625" customWidth="1"/>
    <col min="12" max="12" width="45.1796875" bestFit="1" customWidth="1"/>
    <col min="13" max="13" width="12.26953125" bestFit="1" customWidth="1"/>
    <col min="14" max="14" width="19.81640625" bestFit="1" customWidth="1"/>
    <col min="15" max="15" width="26.1796875" customWidth="1"/>
    <col min="16" max="16" width="25" customWidth="1"/>
    <col min="17" max="17" width="23.7265625" customWidth="1"/>
    <col min="18" max="18" width="44.453125" bestFit="1" customWidth="1"/>
    <col min="19" max="19" width="20.81640625" customWidth="1"/>
    <col min="20" max="20" width="20.7265625" customWidth="1"/>
    <col min="21" max="21" width="9.1796875" customWidth="1"/>
    <col min="22" max="22" width="15.54296875" customWidth="1"/>
    <col min="23" max="23" width="15.54296875" bestFit="1" customWidth="1"/>
    <col min="24" max="24" width="16" bestFit="1" customWidth="1"/>
    <col min="25" max="25" width="21.7265625" customWidth="1"/>
  </cols>
  <sheetData>
    <row r="1" spans="2:25" ht="14.5" customHeight="1" x14ac:dyDescent="0.35">
      <c r="O1" s="10"/>
      <c r="P1" s="10"/>
      <c r="Q1" s="10"/>
      <c r="R1" s="10"/>
      <c r="T1" s="10" t="s">
        <v>75</v>
      </c>
      <c r="V1" s="10" t="s">
        <v>75</v>
      </c>
    </row>
    <row r="2" spans="2:25" ht="15" customHeight="1" x14ac:dyDescent="0.45">
      <c r="B2" s="59" t="s">
        <v>211</v>
      </c>
    </row>
    <row r="3" spans="2:25" ht="15" customHeight="1" x14ac:dyDescent="0.45">
      <c r="B3" s="59"/>
    </row>
    <row r="4" spans="2:25" ht="15" customHeight="1" x14ac:dyDescent="0.35">
      <c r="T4" s="32" t="e">
        <f>SUBTOTAL(9,T6:T27156)</f>
        <v>#DIV/0!</v>
      </c>
      <c r="U4" s="32"/>
    </row>
    <row r="5" spans="2:25" ht="45" customHeight="1" x14ac:dyDescent="0.35">
      <c r="B5" s="33" t="s">
        <v>80</v>
      </c>
      <c r="C5" s="33" t="s">
        <v>137</v>
      </c>
      <c r="D5" s="33" t="s">
        <v>77</v>
      </c>
      <c r="E5" s="33" t="s">
        <v>113</v>
      </c>
      <c r="F5" s="33" t="s">
        <v>79</v>
      </c>
      <c r="G5" s="33" t="s">
        <v>91</v>
      </c>
      <c r="H5" s="33" t="s">
        <v>140</v>
      </c>
      <c r="I5" s="33" t="s">
        <v>141</v>
      </c>
      <c r="J5" s="33" t="s">
        <v>142</v>
      </c>
      <c r="K5" s="33" t="s">
        <v>143</v>
      </c>
      <c r="L5" s="33" t="s">
        <v>145</v>
      </c>
      <c r="M5" s="33" t="s">
        <v>212</v>
      </c>
      <c r="N5" s="33" t="s">
        <v>185</v>
      </c>
      <c r="O5" s="33" t="s">
        <v>213</v>
      </c>
      <c r="P5" s="33" t="s">
        <v>214</v>
      </c>
      <c r="Q5" s="33" t="s">
        <v>215</v>
      </c>
      <c r="R5" s="33" t="s">
        <v>216</v>
      </c>
      <c r="S5" s="33" t="s">
        <v>217</v>
      </c>
      <c r="T5" s="33" t="str">
        <f>+'Term Loan'!$P$5</f>
        <v>6/5 UPB</v>
      </c>
      <c r="U5" s="32"/>
      <c r="V5" s="30" t="s">
        <v>204</v>
      </c>
      <c r="W5" s="30" t="s">
        <v>218</v>
      </c>
      <c r="X5" s="30" t="s">
        <v>175</v>
      </c>
      <c r="Y5" s="30" t="s">
        <v>219</v>
      </c>
    </row>
    <row r="6" spans="2:25" ht="15" customHeight="1" x14ac:dyDescent="0.35">
      <c r="T6" s="34" t="e">
        <f>+(S6/SUMIFS(S:S,B:B,B6))*_xlfn.XLOOKUP(B6,'Term Loan'!B:B,'Term Loan'!P:P)</f>
        <v>#DIV/0!</v>
      </c>
      <c r="V6" s="10" t="str">
        <f>_xlfn.XLOOKUP($B6,'Term Loan'!$B:$B,'Term Loan'!$AE:$AE)</f>
        <v>CALC</v>
      </c>
    </row>
  </sheetData>
  <autoFilter ref="B5:Y2715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1.81640625" bestFit="1" customWidth="1"/>
    <col min="2" max="2" width="10.453125" bestFit="1" customWidth="1"/>
    <col min="3" max="3" width="16.26953125" bestFit="1" customWidth="1"/>
    <col min="4" max="4" width="15" bestFit="1" customWidth="1"/>
    <col min="5" max="5" width="14.54296875" bestFit="1" customWidth="1"/>
    <col min="6" max="6" width="29" bestFit="1" customWidth="1"/>
    <col min="7" max="7" width="20.26953125" bestFit="1" customWidth="1"/>
    <col min="8" max="8" width="19.1796875" bestFit="1" customWidth="1"/>
    <col min="9" max="9" width="43" bestFit="1" customWidth="1"/>
    <col min="10" max="10" width="16.7265625" bestFit="1" customWidth="1"/>
    <col min="11" max="11" width="12.54296875" bestFit="1" customWidth="1"/>
    <col min="12" max="12" width="13.81640625" bestFit="1" customWidth="1"/>
    <col min="13" max="13" width="12.1796875" bestFit="1" customWidth="1"/>
    <col min="14" max="15" width="13.26953125" bestFit="1" customWidth="1"/>
    <col min="16" max="16" width="26.453125" bestFit="1" customWidth="1"/>
    <col min="17" max="17" width="4" bestFit="1" customWidth="1"/>
    <col min="18" max="18" width="15.81640625" bestFit="1" customWidth="1"/>
    <col min="19" max="19" width="15.453125" bestFit="1" customWidth="1"/>
    <col min="20" max="20" width="15.1796875" bestFit="1" customWidth="1"/>
    <col min="21" max="21" width="9.453125" bestFit="1" customWidth="1"/>
    <col min="22" max="23" width="12.26953125" bestFit="1" customWidth="1"/>
    <col min="24" max="24" width="15.453125" bestFit="1" customWidth="1"/>
    <col min="25" max="25" width="14" bestFit="1" customWidth="1"/>
    <col min="26" max="26" width="12.81640625" bestFit="1" customWidth="1"/>
    <col min="27" max="27" width="19.26953125" bestFit="1" customWidth="1"/>
    <col min="28" max="28" width="14.54296875" bestFit="1" customWidth="1"/>
    <col min="29" max="29" width="15" bestFit="1" customWidth="1"/>
    <col min="30" max="30" width="14.54296875" bestFit="1" customWidth="1"/>
    <col min="31" max="31" width="15.81640625" bestFit="1" customWidth="1"/>
    <col min="32" max="32" width="10.7265625" bestFit="1" customWidth="1"/>
    <col min="33" max="33" width="10.81640625" bestFit="1" customWidth="1"/>
    <col min="34" max="34" width="20.26953125" bestFit="1" customWidth="1"/>
    <col min="35" max="35" width="13.26953125" bestFit="1" customWidth="1"/>
    <col min="36" max="36" width="12" bestFit="1" customWidth="1"/>
    <col min="37" max="37" width="14" bestFit="1" customWidth="1"/>
    <col min="38" max="38" width="13.26953125" bestFit="1" customWidth="1"/>
    <col min="39" max="39" width="12.54296875" bestFit="1" customWidth="1"/>
    <col min="40" max="40" width="12.453125" bestFit="1" customWidth="1"/>
    <col min="41" max="41" width="13.81640625" bestFit="1" customWidth="1"/>
    <col min="42" max="42" width="15.54296875" bestFit="1" customWidth="1"/>
    <col min="43" max="43" width="12.81640625" bestFit="1" customWidth="1"/>
    <col min="44" max="44" width="9.453125" bestFit="1" customWidth="1"/>
    <col min="45" max="45" width="10" bestFit="1" customWidth="1"/>
    <col min="46" max="46" width="8.453125" bestFit="1" customWidth="1"/>
    <col min="47" max="47" width="10.7265625" bestFit="1" customWidth="1"/>
    <col min="48" max="48" width="11.7265625" bestFit="1" customWidth="1"/>
    <col min="49" max="49" width="9.7265625" bestFit="1" customWidth="1"/>
    <col min="50" max="50" width="7.1796875" bestFit="1" customWidth="1"/>
    <col min="51" max="51" width="10.81640625" bestFit="1" customWidth="1"/>
    <col min="52" max="52" width="21.453125" bestFit="1" customWidth="1"/>
    <col min="53" max="53" width="10.453125" bestFit="1" customWidth="1"/>
    <col min="54" max="54" width="9.81640625" bestFit="1" customWidth="1"/>
    <col min="55" max="55" width="24.81640625" bestFit="1" customWidth="1"/>
    <col min="56" max="56" width="22.7265625" bestFit="1" customWidth="1"/>
    <col min="57" max="57" width="27.453125" bestFit="1" customWidth="1"/>
    <col min="58" max="58" width="28.1796875" bestFit="1" customWidth="1"/>
    <col min="59" max="59" width="15.7265625" bestFit="1" customWidth="1"/>
    <col min="60" max="60" width="19.1796875" bestFit="1" customWidth="1"/>
    <col min="61" max="61" width="9.26953125" bestFit="1" customWidth="1"/>
    <col min="62" max="62" width="21.81640625" bestFit="1" customWidth="1"/>
    <col min="63" max="63" width="11.453125" bestFit="1" customWidth="1"/>
    <col min="64" max="64" width="15.453125" bestFit="1" customWidth="1"/>
    <col min="65" max="65" width="14.81640625" bestFit="1" customWidth="1"/>
    <col min="66" max="66" width="15" bestFit="1" customWidth="1"/>
    <col min="67" max="67" width="16.81640625" bestFit="1" customWidth="1"/>
    <col min="68" max="68" width="42.1796875" bestFit="1" customWidth="1"/>
    <col min="69" max="69" width="11.26953125" bestFit="1" customWidth="1"/>
    <col min="70" max="70" width="17.54296875" bestFit="1" customWidth="1"/>
    <col min="71" max="71" width="18.81640625" bestFit="1" customWidth="1"/>
    <col min="72" max="72" width="11.453125" bestFit="1" customWidth="1"/>
    <col min="73" max="73" width="14.1796875" bestFit="1" customWidth="1"/>
    <col min="74" max="74" width="26.26953125" bestFit="1" customWidth="1"/>
    <col min="75" max="75" width="15" bestFit="1" customWidth="1"/>
    <col min="76" max="76" width="15.453125" bestFit="1" customWidth="1"/>
    <col min="77" max="77" width="25.54296875" bestFit="1" customWidth="1"/>
    <col min="78" max="78" width="13.26953125" bestFit="1" customWidth="1"/>
    <col min="79" max="79" width="12.81640625" bestFit="1" customWidth="1"/>
    <col min="80" max="80" width="22.7265625" bestFit="1" customWidth="1"/>
    <col min="81" max="81" width="19.26953125" bestFit="1" customWidth="1"/>
    <col min="82" max="82" width="21.54296875" bestFit="1" customWidth="1"/>
    <col min="83" max="83" width="19" bestFit="1" customWidth="1"/>
    <col min="84" max="84" width="25.7265625" bestFit="1" customWidth="1"/>
    <col min="85" max="85" width="19.81640625" bestFit="1" customWidth="1"/>
    <col min="86" max="86" width="15" bestFit="1" customWidth="1"/>
  </cols>
  <sheetData>
    <row r="1" spans="1:86" x14ac:dyDescent="0.35">
      <c r="A1" s="1" t="s">
        <v>220</v>
      </c>
      <c r="B1" s="1" t="s">
        <v>221</v>
      </c>
      <c r="T1" s="5">
        <f>SUBTOTAL(9,T3:T1048576)</f>
        <v>558948.25</v>
      </c>
      <c r="AL1" s="4">
        <f>+AL3</f>
        <v>46204</v>
      </c>
      <c r="AM1" s="4">
        <f>+AM3</f>
        <v>46478</v>
      </c>
    </row>
    <row r="2" spans="1:86" x14ac:dyDescent="0.35">
      <c r="A2" s="2" t="s">
        <v>222</v>
      </c>
      <c r="B2" s="2" t="s">
        <v>223</v>
      </c>
      <c r="C2" s="2" t="s">
        <v>224</v>
      </c>
      <c r="D2" s="2" t="s">
        <v>225</v>
      </c>
      <c r="E2" s="2" t="s">
        <v>226</v>
      </c>
      <c r="F2" s="2" t="s">
        <v>227</v>
      </c>
      <c r="G2" s="2" t="s">
        <v>228</v>
      </c>
      <c r="H2" s="2" t="s">
        <v>229</v>
      </c>
      <c r="I2" s="2" t="s">
        <v>84</v>
      </c>
      <c r="J2" s="2" t="s">
        <v>230</v>
      </c>
      <c r="K2" s="2" t="s">
        <v>231</v>
      </c>
      <c r="L2" s="2" t="s">
        <v>232</v>
      </c>
      <c r="M2" s="2" t="s">
        <v>233</v>
      </c>
      <c r="N2" s="2" t="s">
        <v>234</v>
      </c>
      <c r="O2" s="2" t="s">
        <v>235</v>
      </c>
      <c r="P2" s="2" t="s">
        <v>236</v>
      </c>
      <c r="Q2" s="2" t="s">
        <v>237</v>
      </c>
      <c r="R2" s="2" t="s">
        <v>238</v>
      </c>
      <c r="S2" s="2" t="s">
        <v>239</v>
      </c>
      <c r="T2" s="2" t="s">
        <v>240</v>
      </c>
      <c r="U2" s="2" t="s">
        <v>241</v>
      </c>
      <c r="V2" s="2" t="s">
        <v>242</v>
      </c>
      <c r="W2" s="2" t="s">
        <v>243</v>
      </c>
      <c r="X2" s="2" t="s">
        <v>244</v>
      </c>
      <c r="Y2" s="2" t="s">
        <v>245</v>
      </c>
      <c r="Z2" s="2" t="s">
        <v>246</v>
      </c>
      <c r="AA2" s="2" t="s">
        <v>247</v>
      </c>
      <c r="AB2" s="2" t="s">
        <v>248</v>
      </c>
      <c r="AC2" s="2" t="s">
        <v>249</v>
      </c>
      <c r="AD2" s="2" t="s">
        <v>250</v>
      </c>
      <c r="AE2" s="2" t="s">
        <v>251</v>
      </c>
      <c r="AF2" s="2" t="s">
        <v>252</v>
      </c>
      <c r="AG2" s="2" t="s">
        <v>253</v>
      </c>
      <c r="AH2" s="2" t="s">
        <v>254</v>
      </c>
      <c r="AI2" s="2" t="s">
        <v>255</v>
      </c>
      <c r="AJ2" s="2" t="s">
        <v>256</v>
      </c>
      <c r="AK2" s="2" t="s">
        <v>257</v>
      </c>
      <c r="AL2" s="2" t="s">
        <v>258</v>
      </c>
      <c r="AM2" s="2" t="s">
        <v>192</v>
      </c>
      <c r="AN2" s="2" t="s">
        <v>259</v>
      </c>
      <c r="AO2" s="2" t="s">
        <v>260</v>
      </c>
      <c r="AP2" s="2" t="s">
        <v>91</v>
      </c>
      <c r="AQ2" s="2" t="s">
        <v>261</v>
      </c>
      <c r="AR2" s="2" t="s">
        <v>262</v>
      </c>
      <c r="AS2" s="2" t="s">
        <v>263</v>
      </c>
      <c r="AT2" s="2" t="s">
        <v>264</v>
      </c>
      <c r="AU2" s="2" t="s">
        <v>265</v>
      </c>
      <c r="AV2" s="2" t="s">
        <v>266</v>
      </c>
      <c r="AW2" s="2" t="s">
        <v>267</v>
      </c>
      <c r="AX2" s="2" t="s">
        <v>268</v>
      </c>
      <c r="AY2" s="2" t="s">
        <v>269</v>
      </c>
      <c r="AZ2" s="2" t="s">
        <v>270</v>
      </c>
      <c r="BA2" s="2" t="s">
        <v>271</v>
      </c>
      <c r="BB2" s="2" t="s">
        <v>272</v>
      </c>
      <c r="BC2" s="2" t="s">
        <v>273</v>
      </c>
      <c r="BD2" s="2" t="s">
        <v>274</v>
      </c>
      <c r="BE2" s="2" t="s">
        <v>275</v>
      </c>
      <c r="BF2" s="2" t="s">
        <v>276</v>
      </c>
      <c r="BG2" s="2" t="s">
        <v>277</v>
      </c>
      <c r="BH2" s="2" t="s">
        <v>278</v>
      </c>
      <c r="BI2" s="2" t="s">
        <v>279</v>
      </c>
      <c r="BJ2" s="2" t="s">
        <v>114</v>
      </c>
      <c r="BK2" s="2" t="s">
        <v>280</v>
      </c>
      <c r="BL2" s="2" t="s">
        <v>281</v>
      </c>
      <c r="BM2" s="2" t="s">
        <v>282</v>
      </c>
      <c r="BN2" s="2" t="s">
        <v>283</v>
      </c>
      <c r="BO2" s="2" t="s">
        <v>284</v>
      </c>
      <c r="BP2" s="2" t="s">
        <v>285</v>
      </c>
      <c r="BQ2" s="2" t="s">
        <v>286</v>
      </c>
      <c r="BR2" s="2" t="s">
        <v>287</v>
      </c>
      <c r="BS2" s="2" t="s">
        <v>288</v>
      </c>
      <c r="BT2" s="2" t="s">
        <v>289</v>
      </c>
      <c r="BU2" s="2" t="s">
        <v>290</v>
      </c>
      <c r="BV2" s="2" t="s">
        <v>291</v>
      </c>
      <c r="BW2" s="2" t="s">
        <v>292</v>
      </c>
      <c r="BX2" s="2" t="s">
        <v>293</v>
      </c>
      <c r="BY2" s="2" t="s">
        <v>294</v>
      </c>
      <c r="BZ2" s="2" t="s">
        <v>295</v>
      </c>
      <c r="CA2" s="2" t="s">
        <v>296</v>
      </c>
      <c r="CB2" s="2" t="s">
        <v>297</v>
      </c>
      <c r="CC2" s="2" t="s">
        <v>298</v>
      </c>
      <c r="CD2" s="2" t="s">
        <v>299</v>
      </c>
      <c r="CE2" s="2" t="s">
        <v>300</v>
      </c>
      <c r="CF2" s="2" t="s">
        <v>301</v>
      </c>
      <c r="CG2" s="2" t="s">
        <v>302</v>
      </c>
      <c r="CH2" s="2" t="s">
        <v>303</v>
      </c>
    </row>
    <row r="3" spans="1:86" x14ac:dyDescent="0.35">
      <c r="A3">
        <v>399147585</v>
      </c>
      <c r="B3" t="s">
        <v>304</v>
      </c>
      <c r="C3" t="s">
        <v>305</v>
      </c>
      <c r="D3" t="s">
        <v>306</v>
      </c>
      <c r="E3" t="s">
        <v>307</v>
      </c>
      <c r="F3" t="s">
        <v>308</v>
      </c>
      <c r="G3" s="3" t="s">
        <v>309</v>
      </c>
      <c r="H3" s="4">
        <v>42887</v>
      </c>
      <c r="I3" t="s">
        <v>310</v>
      </c>
      <c r="J3" t="s">
        <v>311</v>
      </c>
      <c r="K3" t="s">
        <v>312</v>
      </c>
      <c r="L3" t="s">
        <v>313</v>
      </c>
      <c r="M3" t="s">
        <v>314</v>
      </c>
      <c r="N3" t="s">
        <v>315</v>
      </c>
      <c r="O3" t="s">
        <v>316</v>
      </c>
      <c r="P3" t="s">
        <v>317</v>
      </c>
      <c r="R3" s="5">
        <v>653300</v>
      </c>
      <c r="S3" s="5">
        <v>653300</v>
      </c>
      <c r="T3" s="5">
        <v>558948.25</v>
      </c>
      <c r="U3" s="6" t="s">
        <v>318</v>
      </c>
      <c r="V3" s="6" t="s">
        <v>319</v>
      </c>
      <c r="W3" t="s">
        <v>320</v>
      </c>
      <c r="X3" s="5">
        <v>0</v>
      </c>
      <c r="Y3" s="5">
        <v>0</v>
      </c>
      <c r="Z3" s="5">
        <v>25</v>
      </c>
      <c r="AA3" s="5">
        <v>402.25</v>
      </c>
      <c r="AB3" s="5">
        <v>0</v>
      </c>
      <c r="AD3" s="5">
        <v>0</v>
      </c>
      <c r="AE3" s="5">
        <v>4022.48</v>
      </c>
      <c r="AF3" t="s">
        <v>321</v>
      </c>
      <c r="AG3">
        <v>5</v>
      </c>
      <c r="AH3" s="5">
        <v>0</v>
      </c>
      <c r="AI3" s="3" t="s">
        <v>322</v>
      </c>
      <c r="AJ3" s="4">
        <v>46174</v>
      </c>
      <c r="AK3" s="4">
        <v>42831</v>
      </c>
      <c r="AL3" s="4">
        <v>46204</v>
      </c>
      <c r="AM3" s="4">
        <v>46478</v>
      </c>
      <c r="AP3" s="4">
        <v>42825</v>
      </c>
      <c r="AQ3" t="s">
        <v>323</v>
      </c>
      <c r="AR3" t="s">
        <v>324</v>
      </c>
      <c r="AS3" t="s">
        <v>313</v>
      </c>
      <c r="AT3" t="s">
        <v>325</v>
      </c>
      <c r="AU3" s="5">
        <v>0</v>
      </c>
      <c r="AX3" s="3" t="s">
        <v>326</v>
      </c>
      <c r="AY3" t="s">
        <v>327</v>
      </c>
      <c r="AZ3" t="s">
        <v>328</v>
      </c>
      <c r="BA3" t="s">
        <v>329</v>
      </c>
      <c r="BB3" t="s">
        <v>330</v>
      </c>
      <c r="BC3" s="5">
        <v>0</v>
      </c>
      <c r="BD3" s="5">
        <v>0</v>
      </c>
      <c r="BE3" s="5">
        <v>0</v>
      </c>
      <c r="BF3" s="5">
        <v>0</v>
      </c>
      <c r="BG3" t="s">
        <v>331</v>
      </c>
      <c r="BH3" t="s">
        <v>305</v>
      </c>
      <c r="BI3">
        <v>0</v>
      </c>
      <c r="BJ3" t="s">
        <v>332</v>
      </c>
      <c r="BM3" s="5">
        <v>0</v>
      </c>
      <c r="BN3" s="5">
        <v>558948.25</v>
      </c>
      <c r="BO3" s="5">
        <v>0</v>
      </c>
      <c r="BP3" t="s">
        <v>333</v>
      </c>
      <c r="BR3" s="5">
        <v>0</v>
      </c>
      <c r="BS3" s="3">
        <v>0</v>
      </c>
      <c r="BV3" t="b">
        <v>0</v>
      </c>
      <c r="BW3" s="5">
        <v>0</v>
      </c>
      <c r="BX3" s="5">
        <v>0</v>
      </c>
      <c r="BY3" t="s">
        <v>334</v>
      </c>
      <c r="CA3" s="4">
        <v>42831.462540706023</v>
      </c>
      <c r="CG3" t="b">
        <v>0</v>
      </c>
      <c r="CH3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24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2" max="2" width="13.26953125" bestFit="1" customWidth="1"/>
    <col min="3" max="3" width="39.26953125" customWidth="1"/>
  </cols>
  <sheetData>
    <row r="2" spans="2:3" x14ac:dyDescent="0.35">
      <c r="B2" s="7" t="s">
        <v>335</v>
      </c>
    </row>
    <row r="4" spans="2:3" x14ac:dyDescent="0.35">
      <c r="B4" s="8" t="s">
        <v>336</v>
      </c>
      <c r="C4" s="8" t="s">
        <v>83</v>
      </c>
    </row>
    <row r="5" spans="2:3" x14ac:dyDescent="0.35">
      <c r="B5" s="9">
        <v>39268</v>
      </c>
      <c r="C5" s="9" t="s">
        <v>337</v>
      </c>
    </row>
    <row r="6" spans="2:3" x14ac:dyDescent="0.35">
      <c r="B6" s="9">
        <v>40791</v>
      </c>
      <c r="C6" s="9" t="s">
        <v>338</v>
      </c>
    </row>
    <row r="7" spans="2:3" x14ac:dyDescent="0.35">
      <c r="B7" s="9">
        <v>43229</v>
      </c>
      <c r="C7" s="9" t="s">
        <v>339</v>
      </c>
    </row>
    <row r="8" spans="2:3" x14ac:dyDescent="0.35">
      <c r="B8" s="9">
        <v>30518</v>
      </c>
      <c r="C8" s="9" t="s">
        <v>340</v>
      </c>
    </row>
    <row r="9" spans="2:3" x14ac:dyDescent="0.35">
      <c r="B9" s="9">
        <v>37572</v>
      </c>
      <c r="C9" s="9" t="s">
        <v>341</v>
      </c>
    </row>
    <row r="10" spans="2:3" x14ac:dyDescent="0.35">
      <c r="B10" s="9">
        <v>41482</v>
      </c>
      <c r="C10" s="9" t="s">
        <v>342</v>
      </c>
    </row>
    <row r="11" spans="2:3" x14ac:dyDescent="0.35">
      <c r="B11" s="9">
        <v>34430</v>
      </c>
      <c r="C11" s="9" t="s">
        <v>343</v>
      </c>
    </row>
    <row r="12" spans="2:3" x14ac:dyDescent="0.35">
      <c r="B12" s="9">
        <v>41483</v>
      </c>
      <c r="C12" s="9" t="s">
        <v>344</v>
      </c>
    </row>
    <row r="13" spans="2:3" x14ac:dyDescent="0.35">
      <c r="B13" s="9">
        <v>42814</v>
      </c>
      <c r="C13" s="9" t="s">
        <v>345</v>
      </c>
    </row>
    <row r="14" spans="2:3" x14ac:dyDescent="0.35">
      <c r="B14" s="9">
        <v>38720</v>
      </c>
      <c r="C14" s="9" t="s">
        <v>346</v>
      </c>
    </row>
    <row r="15" spans="2:3" x14ac:dyDescent="0.35">
      <c r="B15" s="9">
        <v>38524</v>
      </c>
      <c r="C15" s="9" t="s">
        <v>347</v>
      </c>
    </row>
    <row r="16" spans="2:3" x14ac:dyDescent="0.35">
      <c r="B16" s="9">
        <v>43438</v>
      </c>
      <c r="C16" s="9" t="s">
        <v>348</v>
      </c>
    </row>
    <row r="17" spans="2:3" x14ac:dyDescent="0.35">
      <c r="B17" s="9">
        <v>45202</v>
      </c>
      <c r="C17" s="9" t="s">
        <v>349</v>
      </c>
    </row>
    <row r="18" spans="2:3" x14ac:dyDescent="0.35">
      <c r="B18" s="9">
        <v>41867</v>
      </c>
      <c r="C18" s="9" t="s">
        <v>350</v>
      </c>
    </row>
    <row r="19" spans="2:3" x14ac:dyDescent="0.35">
      <c r="B19" s="9">
        <v>40576</v>
      </c>
      <c r="C19" s="9" t="s">
        <v>351</v>
      </c>
    </row>
    <row r="20" spans="2:3" x14ac:dyDescent="0.35">
      <c r="B20" s="9">
        <v>40021</v>
      </c>
      <c r="C20" s="9" t="s">
        <v>352</v>
      </c>
    </row>
    <row r="21" spans="2:3" x14ac:dyDescent="0.35">
      <c r="B21" s="9">
        <v>39712</v>
      </c>
      <c r="C21" s="9" t="s">
        <v>353</v>
      </c>
    </row>
    <row r="22" spans="2:3" x14ac:dyDescent="0.35">
      <c r="B22" s="9">
        <v>41195</v>
      </c>
      <c r="C22" s="9" t="s">
        <v>354</v>
      </c>
    </row>
    <row r="23" spans="2:3" x14ac:dyDescent="0.35">
      <c r="B23" s="9">
        <v>39295</v>
      </c>
      <c r="C23" s="9" t="s">
        <v>355</v>
      </c>
    </row>
    <row r="24" spans="2:3" x14ac:dyDescent="0.35">
      <c r="B24" s="9">
        <v>39711</v>
      </c>
      <c r="C24" s="9" t="s">
        <v>356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I5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2" max="2" width="17.453125" bestFit="1" customWidth="1"/>
    <col min="3" max="3" width="57.26953125" bestFit="1" customWidth="1"/>
    <col min="4" max="4" width="16.7265625" bestFit="1" customWidth="1"/>
    <col min="7" max="7" width="17.453125" bestFit="1" customWidth="1"/>
    <col min="8" max="8" width="34.1796875" bestFit="1" customWidth="1"/>
    <col min="9" max="9" width="16.453125" bestFit="1" customWidth="1"/>
  </cols>
  <sheetData>
    <row r="2" spans="2:9" x14ac:dyDescent="0.35">
      <c r="B2" s="7" t="s">
        <v>357</v>
      </c>
      <c r="G2" s="7" t="s">
        <v>358</v>
      </c>
    </row>
    <row r="3" spans="2:9" x14ac:dyDescent="0.35">
      <c r="B3" t="s">
        <v>359</v>
      </c>
      <c r="G3" t="str">
        <f>+B3</f>
        <v>09302025 RWT Bridge Tape - 10.17.25 v1</v>
      </c>
    </row>
    <row r="5" spans="2:9" x14ac:dyDescent="0.35">
      <c r="B5" s="8" t="s">
        <v>80</v>
      </c>
      <c r="C5" s="8" t="s">
        <v>83</v>
      </c>
      <c r="D5" s="8" t="s">
        <v>360</v>
      </c>
      <c r="G5" s="8" t="s">
        <v>80</v>
      </c>
      <c r="H5" s="8" t="s">
        <v>83</v>
      </c>
      <c r="I5" s="8" t="s">
        <v>360</v>
      </c>
    </row>
    <row r="6" spans="2:9" x14ac:dyDescent="0.35">
      <c r="B6" s="9">
        <v>39499</v>
      </c>
      <c r="C6" s="9" t="s">
        <v>361</v>
      </c>
      <c r="D6" s="9" t="s">
        <v>16</v>
      </c>
      <c r="G6" s="9">
        <v>41494</v>
      </c>
      <c r="H6" s="9" t="s">
        <v>362</v>
      </c>
      <c r="I6" s="9" t="s">
        <v>16</v>
      </c>
    </row>
    <row r="7" spans="2:9" x14ac:dyDescent="0.35">
      <c r="B7" s="9">
        <v>39318</v>
      </c>
      <c r="C7" s="9" t="s">
        <v>363</v>
      </c>
      <c r="D7" s="9" t="s">
        <v>16</v>
      </c>
      <c r="G7" s="9">
        <v>48487</v>
      </c>
      <c r="H7" s="9" t="s">
        <v>364</v>
      </c>
      <c r="I7" s="9" t="s">
        <v>16</v>
      </c>
    </row>
    <row r="8" spans="2:9" x14ac:dyDescent="0.35">
      <c r="B8" s="9">
        <v>40113</v>
      </c>
      <c r="C8" s="9" t="s">
        <v>365</v>
      </c>
      <c r="D8" s="9" t="s">
        <v>16</v>
      </c>
      <c r="G8" s="9">
        <v>44177</v>
      </c>
      <c r="H8" s="9" t="s">
        <v>366</v>
      </c>
      <c r="I8" s="9" t="s">
        <v>16</v>
      </c>
    </row>
    <row r="9" spans="2:9" x14ac:dyDescent="0.35">
      <c r="B9" s="9">
        <v>39584</v>
      </c>
      <c r="C9" s="9" t="s">
        <v>367</v>
      </c>
      <c r="D9" s="9" t="s">
        <v>16</v>
      </c>
      <c r="G9" s="9">
        <v>20739</v>
      </c>
      <c r="H9" s="9" t="s">
        <v>368</v>
      </c>
      <c r="I9" s="9" t="s">
        <v>16</v>
      </c>
    </row>
    <row r="10" spans="2:9" x14ac:dyDescent="0.35">
      <c r="B10" s="9">
        <v>39894</v>
      </c>
      <c r="C10" s="9" t="s">
        <v>369</v>
      </c>
      <c r="D10" s="9" t="s">
        <v>16</v>
      </c>
      <c r="G10" s="9">
        <v>20747</v>
      </c>
      <c r="H10" s="9" t="s">
        <v>370</v>
      </c>
      <c r="I10" s="9" t="s">
        <v>16</v>
      </c>
    </row>
    <row r="11" spans="2:9" x14ac:dyDescent="0.35">
      <c r="B11" s="9">
        <v>47079</v>
      </c>
      <c r="C11" s="9" t="s">
        <v>371</v>
      </c>
      <c r="D11" s="9" t="s">
        <v>16</v>
      </c>
      <c r="G11" s="9">
        <v>54426</v>
      </c>
      <c r="H11" s="9" t="s">
        <v>372</v>
      </c>
      <c r="I11" s="9" t="s">
        <v>16</v>
      </c>
    </row>
    <row r="12" spans="2:9" x14ac:dyDescent="0.35">
      <c r="B12" s="9">
        <v>55629</v>
      </c>
      <c r="C12" s="9" t="s">
        <v>373</v>
      </c>
      <c r="D12" s="9" t="s">
        <v>374</v>
      </c>
      <c r="G12" s="9">
        <v>50841</v>
      </c>
      <c r="H12" s="9" t="s">
        <v>375</v>
      </c>
      <c r="I12" s="9" t="s">
        <v>16</v>
      </c>
    </row>
    <row r="13" spans="2:9" x14ac:dyDescent="0.35">
      <c r="B13" s="9">
        <v>47464</v>
      </c>
      <c r="C13" s="9" t="s">
        <v>376</v>
      </c>
      <c r="D13" s="9" t="s">
        <v>16</v>
      </c>
      <c r="G13" s="9">
        <v>43422</v>
      </c>
      <c r="H13" s="9" t="s">
        <v>377</v>
      </c>
      <c r="I13" s="9" t="s">
        <v>16</v>
      </c>
    </row>
    <row r="14" spans="2:9" x14ac:dyDescent="0.35">
      <c r="B14" s="9">
        <v>41448</v>
      </c>
      <c r="C14" s="9" t="s">
        <v>378</v>
      </c>
      <c r="D14" s="9" t="s">
        <v>16</v>
      </c>
      <c r="G14" s="9">
        <v>43462</v>
      </c>
      <c r="H14" s="9" t="s">
        <v>379</v>
      </c>
      <c r="I14" s="9" t="s">
        <v>16</v>
      </c>
    </row>
    <row r="15" spans="2:9" x14ac:dyDescent="0.35">
      <c r="B15" s="9">
        <v>40945</v>
      </c>
      <c r="C15" s="9" t="s">
        <v>380</v>
      </c>
      <c r="D15" s="9" t="s">
        <v>381</v>
      </c>
      <c r="G15" s="9"/>
      <c r="H15" s="9"/>
      <c r="I15" s="9"/>
    </row>
    <row r="16" spans="2:9" x14ac:dyDescent="0.35">
      <c r="B16" s="9">
        <v>32506</v>
      </c>
      <c r="C16" s="9" t="s">
        <v>382</v>
      </c>
      <c r="D16" s="9" t="s">
        <v>16</v>
      </c>
    </row>
    <row r="17" spans="2:4" x14ac:dyDescent="0.35">
      <c r="B17" s="9">
        <v>33732</v>
      </c>
      <c r="C17" s="9" t="s">
        <v>383</v>
      </c>
      <c r="D17" s="9" t="s">
        <v>16</v>
      </c>
    </row>
    <row r="18" spans="2:4" x14ac:dyDescent="0.35">
      <c r="B18" s="9">
        <v>49128</v>
      </c>
      <c r="C18" s="9" t="s">
        <v>384</v>
      </c>
      <c r="D18" s="9" t="s">
        <v>16</v>
      </c>
    </row>
    <row r="19" spans="2:4" x14ac:dyDescent="0.35">
      <c r="B19" s="9">
        <v>57543</v>
      </c>
      <c r="C19" s="9" t="s">
        <v>385</v>
      </c>
      <c r="D19" s="9" t="s">
        <v>16</v>
      </c>
    </row>
    <row r="20" spans="2:4" x14ac:dyDescent="0.35">
      <c r="B20" s="9">
        <v>40915</v>
      </c>
      <c r="C20" s="9" t="s">
        <v>386</v>
      </c>
      <c r="D20" s="9" t="s">
        <v>9</v>
      </c>
    </row>
    <row r="21" spans="2:4" x14ac:dyDescent="0.35">
      <c r="B21" s="9">
        <v>38947</v>
      </c>
      <c r="C21" s="9" t="s">
        <v>387</v>
      </c>
      <c r="D21" s="9" t="s">
        <v>16</v>
      </c>
    </row>
    <row r="22" spans="2:4" x14ac:dyDescent="0.35">
      <c r="B22" s="9">
        <v>41475</v>
      </c>
      <c r="C22" s="9" t="s">
        <v>388</v>
      </c>
      <c r="D22" s="9" t="s">
        <v>9</v>
      </c>
    </row>
    <row r="23" spans="2:4" x14ac:dyDescent="0.35">
      <c r="B23" s="9">
        <v>33735</v>
      </c>
      <c r="C23" s="9" t="s">
        <v>389</v>
      </c>
      <c r="D23" s="9" t="s">
        <v>16</v>
      </c>
    </row>
    <row r="24" spans="2:4" x14ac:dyDescent="0.35">
      <c r="B24" s="9">
        <v>40923</v>
      </c>
      <c r="C24" s="9" t="s">
        <v>390</v>
      </c>
      <c r="D24" s="9" t="s">
        <v>9</v>
      </c>
    </row>
    <row r="25" spans="2:4" x14ac:dyDescent="0.35">
      <c r="B25" s="9">
        <v>54718</v>
      </c>
      <c r="C25" s="9" t="s">
        <v>391</v>
      </c>
      <c r="D25" s="9" t="s">
        <v>16</v>
      </c>
    </row>
    <row r="26" spans="2:4" x14ac:dyDescent="0.35">
      <c r="B26" s="9">
        <v>56309</v>
      </c>
      <c r="C26" s="9" t="s">
        <v>392</v>
      </c>
      <c r="D26" s="9" t="s">
        <v>17</v>
      </c>
    </row>
    <row r="27" spans="2:4" x14ac:dyDescent="0.35">
      <c r="B27" s="9">
        <v>38964</v>
      </c>
      <c r="C27" s="9" t="s">
        <v>393</v>
      </c>
      <c r="D27" s="9" t="s">
        <v>9</v>
      </c>
    </row>
    <row r="28" spans="2:4" x14ac:dyDescent="0.35">
      <c r="B28" s="9">
        <v>56109</v>
      </c>
      <c r="C28" s="9" t="s">
        <v>394</v>
      </c>
      <c r="D28" s="9" t="s">
        <v>374</v>
      </c>
    </row>
    <row r="29" spans="2:4" x14ac:dyDescent="0.35">
      <c r="B29" s="9">
        <v>37509</v>
      </c>
      <c r="C29" s="9" t="s">
        <v>395</v>
      </c>
      <c r="D29" s="9" t="s">
        <v>16</v>
      </c>
    </row>
    <row r="30" spans="2:4" x14ac:dyDescent="0.35">
      <c r="B30" s="9">
        <v>38528</v>
      </c>
      <c r="C30" s="9" t="s">
        <v>396</v>
      </c>
      <c r="D30" s="9" t="s">
        <v>16</v>
      </c>
    </row>
    <row r="31" spans="2:4" x14ac:dyDescent="0.35">
      <c r="B31" s="9">
        <v>37733</v>
      </c>
      <c r="C31" s="9" t="s">
        <v>397</v>
      </c>
      <c r="D31" s="9" t="s">
        <v>381</v>
      </c>
    </row>
    <row r="32" spans="2:4" x14ac:dyDescent="0.35">
      <c r="B32" s="9">
        <v>37535</v>
      </c>
      <c r="C32" s="9" t="s">
        <v>398</v>
      </c>
      <c r="D32" s="9" t="s">
        <v>16</v>
      </c>
    </row>
    <row r="33" spans="2:4" x14ac:dyDescent="0.35">
      <c r="B33" s="9">
        <v>38304</v>
      </c>
      <c r="C33" s="9" t="s">
        <v>399</v>
      </c>
      <c r="D33" s="9" t="s">
        <v>16</v>
      </c>
    </row>
    <row r="34" spans="2:4" x14ac:dyDescent="0.35">
      <c r="B34" s="9">
        <v>57973</v>
      </c>
      <c r="C34" s="9" t="s">
        <v>400</v>
      </c>
      <c r="D34" s="9" t="s">
        <v>16</v>
      </c>
    </row>
    <row r="35" spans="2:4" x14ac:dyDescent="0.35">
      <c r="B35" s="9">
        <v>40771</v>
      </c>
      <c r="C35" s="9" t="s">
        <v>401</v>
      </c>
      <c r="D35" s="9" t="s">
        <v>16</v>
      </c>
    </row>
    <row r="36" spans="2:4" x14ac:dyDescent="0.35">
      <c r="B36" s="9" t="s">
        <v>402</v>
      </c>
      <c r="C36" s="9" t="s">
        <v>403</v>
      </c>
      <c r="D36" s="9" t="s">
        <v>16</v>
      </c>
    </row>
    <row r="37" spans="2:4" x14ac:dyDescent="0.35">
      <c r="B37" s="9">
        <v>41874</v>
      </c>
      <c r="C37" s="9" t="s">
        <v>404</v>
      </c>
      <c r="D37" s="9" t="s">
        <v>381</v>
      </c>
    </row>
    <row r="38" spans="2:4" x14ac:dyDescent="0.35">
      <c r="B38" s="9">
        <v>39386</v>
      </c>
      <c r="C38" s="9" t="s">
        <v>405</v>
      </c>
      <c r="D38" s="9" t="s">
        <v>16</v>
      </c>
    </row>
    <row r="39" spans="2:4" x14ac:dyDescent="0.35">
      <c r="B39" s="9">
        <v>40426</v>
      </c>
      <c r="C39" s="9" t="s">
        <v>406</v>
      </c>
      <c r="D39" s="9" t="s">
        <v>381</v>
      </c>
    </row>
    <row r="40" spans="2:4" x14ac:dyDescent="0.35">
      <c r="B40" s="9" t="s">
        <v>407</v>
      </c>
      <c r="C40" s="9" t="s">
        <v>408</v>
      </c>
      <c r="D40" s="9" t="s">
        <v>381</v>
      </c>
    </row>
    <row r="41" spans="2:4" x14ac:dyDescent="0.35">
      <c r="B41" s="9">
        <v>41124</v>
      </c>
      <c r="C41" s="9" t="s">
        <v>409</v>
      </c>
      <c r="D41" s="9" t="s">
        <v>16</v>
      </c>
    </row>
    <row r="42" spans="2:4" x14ac:dyDescent="0.35">
      <c r="B42" s="9">
        <v>42295</v>
      </c>
      <c r="C42" s="9" t="s">
        <v>410</v>
      </c>
      <c r="D42" s="9" t="s">
        <v>381</v>
      </c>
    </row>
    <row r="43" spans="2:4" x14ac:dyDescent="0.35">
      <c r="B43" s="9">
        <v>39392</v>
      </c>
      <c r="C43" s="9" t="s">
        <v>411</v>
      </c>
      <c r="D43" s="9" t="s">
        <v>16</v>
      </c>
    </row>
    <row r="44" spans="2:4" x14ac:dyDescent="0.35">
      <c r="B44" s="9">
        <v>37683</v>
      </c>
      <c r="C44" s="9" t="s">
        <v>412</v>
      </c>
      <c r="D44" s="9" t="s">
        <v>16</v>
      </c>
    </row>
    <row r="45" spans="2:4" x14ac:dyDescent="0.35">
      <c r="B45" s="9">
        <v>41118</v>
      </c>
      <c r="C45" s="9" t="s">
        <v>413</v>
      </c>
      <c r="D45" s="9" t="s">
        <v>16</v>
      </c>
    </row>
    <row r="46" spans="2:4" x14ac:dyDescent="0.35">
      <c r="B46" s="9">
        <v>39795</v>
      </c>
      <c r="C46" s="9" t="s">
        <v>414</v>
      </c>
      <c r="D46" s="9" t="s">
        <v>16</v>
      </c>
    </row>
    <row r="47" spans="2:4" x14ac:dyDescent="0.35">
      <c r="B47" s="9">
        <v>37185</v>
      </c>
      <c r="C47" s="9" t="s">
        <v>415</v>
      </c>
      <c r="D47" s="9" t="s">
        <v>16</v>
      </c>
    </row>
    <row r="48" spans="2:4" x14ac:dyDescent="0.35">
      <c r="B48" s="9">
        <v>57646</v>
      </c>
      <c r="C48" s="9" t="s">
        <v>416</v>
      </c>
      <c r="D48" s="9" t="s">
        <v>17</v>
      </c>
    </row>
    <row r="49" spans="2:4" x14ac:dyDescent="0.35">
      <c r="B49" s="9">
        <v>37682</v>
      </c>
      <c r="C49" s="9" t="s">
        <v>417</v>
      </c>
      <c r="D49" s="9" t="s">
        <v>16</v>
      </c>
    </row>
    <row r="50" spans="2:4" x14ac:dyDescent="0.35">
      <c r="B50" s="9" t="s">
        <v>418</v>
      </c>
      <c r="C50" s="9" t="s">
        <v>419</v>
      </c>
      <c r="D50" s="9" t="s">
        <v>16</v>
      </c>
    </row>
    <row r="51" spans="2:4" x14ac:dyDescent="0.35">
      <c r="B51" s="9">
        <v>37623</v>
      </c>
      <c r="C51" s="9" t="s">
        <v>420</v>
      </c>
      <c r="D51" s="9" t="s">
        <v>9</v>
      </c>
    </row>
    <row r="52" spans="2:4" x14ac:dyDescent="0.35">
      <c r="B52" s="9">
        <v>37628</v>
      </c>
      <c r="C52" s="9" t="s">
        <v>421</v>
      </c>
      <c r="D52" s="9" t="s">
        <v>9</v>
      </c>
    </row>
    <row r="53" spans="2:4" x14ac:dyDescent="0.35">
      <c r="B53" s="9">
        <v>37622</v>
      </c>
      <c r="C53" s="9" t="s">
        <v>422</v>
      </c>
      <c r="D53" s="9" t="s">
        <v>9</v>
      </c>
    </row>
    <row r="54" spans="2:4" x14ac:dyDescent="0.35">
      <c r="B54" s="9">
        <v>37626</v>
      </c>
      <c r="C54" s="9" t="s">
        <v>423</v>
      </c>
      <c r="D54" s="9" t="s">
        <v>9</v>
      </c>
    </row>
    <row r="55" spans="2:4" x14ac:dyDescent="0.35">
      <c r="B55" s="9">
        <v>37733</v>
      </c>
      <c r="C55" s="9" t="s">
        <v>397</v>
      </c>
      <c r="D55" s="9" t="s">
        <v>381</v>
      </c>
    </row>
    <row r="56" spans="2:4" x14ac:dyDescent="0.35">
      <c r="B56" s="9">
        <v>56454</v>
      </c>
      <c r="C56" s="9" t="s">
        <v>424</v>
      </c>
      <c r="D56" s="9" t="s">
        <v>17</v>
      </c>
    </row>
    <row r="57" spans="2:4" x14ac:dyDescent="0.35">
      <c r="B57" s="9">
        <v>25367</v>
      </c>
      <c r="C57" s="9" t="s">
        <v>425</v>
      </c>
      <c r="D57" s="9" t="s">
        <v>381</v>
      </c>
    </row>
    <row r="58" spans="2:4" x14ac:dyDescent="0.35">
      <c r="B58" s="9" t="s">
        <v>426</v>
      </c>
      <c r="C58" s="9" t="s">
        <v>427</v>
      </c>
      <c r="D58" s="9" t="s">
        <v>16</v>
      </c>
    </row>
    <row r="59" spans="2:4" x14ac:dyDescent="0.35">
      <c r="B59" s="9">
        <v>53344</v>
      </c>
      <c r="C59" s="9" t="s">
        <v>428</v>
      </c>
      <c r="D59" s="9" t="s">
        <v>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0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2" max="2" width="35.7265625" customWidth="1"/>
    <col min="3" max="3" width="29.26953125" customWidth="1"/>
    <col min="6" max="6" width="21" bestFit="1" customWidth="1"/>
  </cols>
  <sheetData>
    <row r="2" spans="2:7" x14ac:dyDescent="0.35">
      <c r="B2" s="7" t="s">
        <v>429</v>
      </c>
      <c r="F2" s="7" t="s">
        <v>430</v>
      </c>
    </row>
    <row r="4" spans="2:7" x14ac:dyDescent="0.35">
      <c r="B4" s="7" t="s">
        <v>431</v>
      </c>
      <c r="C4" s="7" t="s">
        <v>213</v>
      </c>
      <c r="F4" s="7" t="s">
        <v>128</v>
      </c>
      <c r="G4" s="7" t="s">
        <v>432</v>
      </c>
    </row>
    <row r="5" spans="2:7" x14ac:dyDescent="0.35">
      <c r="B5" t="s">
        <v>433</v>
      </c>
      <c r="C5" t="s">
        <v>36</v>
      </c>
      <c r="F5" t="s">
        <v>434</v>
      </c>
      <c r="G5" t="s">
        <v>432</v>
      </c>
    </row>
    <row r="6" spans="2:7" x14ac:dyDescent="0.35">
      <c r="B6" t="s">
        <v>45</v>
      </c>
      <c r="C6" t="s">
        <v>36</v>
      </c>
      <c r="F6" t="s">
        <v>435</v>
      </c>
      <c r="G6" t="s">
        <v>432</v>
      </c>
    </row>
    <row r="7" spans="2:7" x14ac:dyDescent="0.35">
      <c r="B7" t="s">
        <v>436</v>
      </c>
      <c r="C7" t="s">
        <v>36</v>
      </c>
      <c r="F7" t="s">
        <v>437</v>
      </c>
      <c r="G7" t="s">
        <v>432</v>
      </c>
    </row>
    <row r="8" spans="2:7" x14ac:dyDescent="0.35">
      <c r="B8" t="s">
        <v>438</v>
      </c>
      <c r="C8" t="s">
        <v>36</v>
      </c>
      <c r="F8" t="s">
        <v>439</v>
      </c>
      <c r="G8" t="s">
        <v>432</v>
      </c>
    </row>
    <row r="9" spans="2:7" x14ac:dyDescent="0.35">
      <c r="B9" t="s">
        <v>440</v>
      </c>
      <c r="C9" t="s">
        <v>36</v>
      </c>
      <c r="F9" t="s">
        <v>441</v>
      </c>
      <c r="G9" t="s">
        <v>432</v>
      </c>
    </row>
    <row r="10" spans="2:7" x14ac:dyDescent="0.35">
      <c r="B10" t="s">
        <v>442</v>
      </c>
      <c r="C10" t="s">
        <v>38</v>
      </c>
      <c r="F10" t="s">
        <v>443</v>
      </c>
      <c r="G10" t="s">
        <v>432</v>
      </c>
    </row>
    <row r="11" spans="2:7" x14ac:dyDescent="0.35">
      <c r="B11" t="s">
        <v>444</v>
      </c>
      <c r="C11" t="s">
        <v>38</v>
      </c>
      <c r="F11" t="s">
        <v>445</v>
      </c>
      <c r="G11" t="s">
        <v>432</v>
      </c>
    </row>
    <row r="12" spans="2:7" x14ac:dyDescent="0.35">
      <c r="B12" t="s">
        <v>446</v>
      </c>
      <c r="C12" t="s">
        <v>38</v>
      </c>
      <c r="F12" t="s">
        <v>447</v>
      </c>
      <c r="G12" t="s">
        <v>432</v>
      </c>
    </row>
    <row r="13" spans="2:7" x14ac:dyDescent="0.35">
      <c r="B13" t="s">
        <v>448</v>
      </c>
      <c r="C13" t="s">
        <v>38</v>
      </c>
      <c r="F13" t="s">
        <v>449</v>
      </c>
      <c r="G13" t="s">
        <v>432</v>
      </c>
    </row>
    <row r="14" spans="2:7" x14ac:dyDescent="0.35">
      <c r="B14" t="s">
        <v>450</v>
      </c>
      <c r="C14" t="s">
        <v>38</v>
      </c>
      <c r="F14" t="s">
        <v>451</v>
      </c>
      <c r="G14" t="s">
        <v>432</v>
      </c>
    </row>
    <row r="15" spans="2:7" x14ac:dyDescent="0.35">
      <c r="B15" t="s">
        <v>452</v>
      </c>
      <c r="C15" t="s">
        <v>38</v>
      </c>
    </row>
    <row r="16" spans="2:7" x14ac:dyDescent="0.35">
      <c r="B16" t="s">
        <v>453</v>
      </c>
      <c r="C16" t="s">
        <v>38</v>
      </c>
    </row>
    <row r="17" spans="2:3" x14ac:dyDescent="0.35">
      <c r="B17" t="s">
        <v>454</v>
      </c>
      <c r="C17" t="s">
        <v>38</v>
      </c>
    </row>
    <row r="18" spans="2:3" x14ac:dyDescent="0.35">
      <c r="B18" t="s">
        <v>455</v>
      </c>
      <c r="C18" t="s">
        <v>38</v>
      </c>
    </row>
    <row r="19" spans="2:3" x14ac:dyDescent="0.35">
      <c r="B19" t="s">
        <v>456</v>
      </c>
      <c r="C19" t="s">
        <v>38</v>
      </c>
    </row>
    <row r="20" spans="2:3" x14ac:dyDescent="0.35">
      <c r="B20" t="s">
        <v>457</v>
      </c>
      <c r="C20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Bridge Summary</vt:lpstr>
      <vt:lpstr>Term Summary</vt:lpstr>
      <vt:lpstr>Bridge Loan</vt:lpstr>
      <vt:lpstr>Bridge Asset</vt:lpstr>
      <vt:lpstr>Term Loan</vt:lpstr>
      <vt:lpstr>Term Asset</vt:lpstr>
      <vt:lpstr>Pacific Life</vt:lpstr>
      <vt:lpstr>SSP Loans</vt:lpstr>
      <vt:lpstr>Legacy</vt:lpstr>
      <vt:lpstr>Strategy Groupings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Hayden Keown</dc:creator>
  <cp:lastModifiedBy>Jonathan Smith</cp:lastModifiedBy>
  <dcterms:created xsi:type="dcterms:W3CDTF">2025-10-06T15:35:50Z</dcterms:created>
  <dcterms:modified xsi:type="dcterms:W3CDTF">2026-06-09T15:10:18Z</dcterms:modified>
</cp:coreProperties>
</file>