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45" yWindow="-16320" windowWidth="29040" windowHeight="15720" tabRatio="600" firstSheet="0" activeTab="3" autoFilterDateGrouping="1"/>
  </bookViews>
  <sheets>
    <sheet xmlns:r="http://schemas.openxmlformats.org/officeDocument/2006/relationships" name="Bridge Summary" sheetId="1" state="visible" r:id="rId1"/>
    <sheet xmlns:r="http://schemas.openxmlformats.org/officeDocument/2006/relationships" name="Term Summary" sheetId="2" state="visible" r:id="rId2"/>
    <sheet xmlns:r="http://schemas.openxmlformats.org/officeDocument/2006/relationships" name="Bridge Loan" sheetId="3" state="visible" r:id="rId3"/>
    <sheet xmlns:r="http://schemas.openxmlformats.org/officeDocument/2006/relationships" name="Bridge Asset" sheetId="4" state="visible" r:id="rId4"/>
    <sheet xmlns:r="http://schemas.openxmlformats.org/officeDocument/2006/relationships" name="Term Loan" sheetId="5" state="visible" r:id="rId5"/>
    <sheet xmlns:r="http://schemas.openxmlformats.org/officeDocument/2006/relationships" name="Term Asset" sheetId="6" state="visible" r:id="rId6"/>
    <sheet xmlns:r="http://schemas.openxmlformats.org/officeDocument/2006/relationships" name="SSP Loans" sheetId="8" state="hidden" r:id="rId8"/>
    <sheet xmlns:r="http://schemas.openxmlformats.org/officeDocument/2006/relationships" name="Legacy" sheetId="9" state="hidden" r:id="rId9"/>
    <sheet xmlns:r="http://schemas.openxmlformats.org/officeDocument/2006/relationships" name="Strategy Groupings" sheetId="10" state="hidden" r:id="rId10"/>
  </sheets>
  <definedNames>
    <definedName name="_xlnm._FilterDatabase" localSheetId="2" hidden="1">'Bridge Loan'!$B$5:$BH$1060</definedName>
    <definedName name="_xlnm._FilterDatabase" localSheetId="3" hidden="1">'Bridge Asset'!$B$5:$DF$4695</definedName>
    <definedName name="_xlnm._FilterDatabase" localSheetId="4" hidden="1">'Term Loan'!$B$5:$AH$1192</definedName>
    <definedName name="_xlnm._FilterDatabase" localSheetId="5" hidden="1">'Term Asset'!$B$5:$Y$27156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\$#,##0.00"/>
    <numFmt numFmtId="166" formatCode="0.0000%"/>
    <numFmt numFmtId="167" formatCode="#,###;[Red]\(#,###\);&quot;-&quot;"/>
    <numFmt numFmtId="168" formatCode="#,###.00;[Red]\(#,###.00\);&quot;-&quot;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</fonts>
  <fills count="8">
    <fill>
      <patternFill/>
    </fill>
    <fill>
      <patternFill patternType="gray125"/>
    </fill>
    <fill>
      <patternFill patternType="solid">
        <fgColor rgb="FF7A7A7A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  <xf numFmtId="10" fontId="0" fillId="0" borderId="6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0" fontId="0" fillId="5" borderId="10" applyAlignment="1" pivotButton="0" quotePrefix="0" xfId="0">
      <alignment horizontal="center" vertical="center"/>
    </xf>
    <xf numFmtId="10" fontId="0" fillId="3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left"/>
    </xf>
    <xf numFmtId="168" fontId="2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indent="2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167" fontId="2" fillId="0" borderId="6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167" fontId="2" fillId="7" borderId="10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167" fontId="2" fillId="0" borderId="2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10" fontId="0" fillId="0" borderId="4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Hayden Keown</author>
  </authors>
  <commentList>
    <comment ref="B14" authorId="0" shapeId="0">
      <text>
        <t>Hayden Keown:
Excludes Legacy Loans in R1</t>
      </text>
    </comment>
  </commentList>
</comments>
</file>

<file path=xl/comments/comment2.xml><?xml version="1.0" encoding="utf-8"?>
<comments xmlns="http://schemas.openxmlformats.org/spreadsheetml/2006/main">
  <authors>
    <author>Hayden Keown</author>
  </authors>
  <commentList>
    <comment ref="DE3" authorId="0" shapeId="0">
      <text>
        <t>Hayden Keown:
Current FQ End Date</t>
      </text>
    </comment>
    <comment ref="DE4" authorId="0" shapeId="0">
      <text>
        <t>Hayden Keown:
Current FQ DQ 90+ Cutoff</t>
      </text>
    </comment>
  </commentList>
</comments>
</file>

<file path=xl/comments/comment3.xml><?xml version="1.0" encoding="utf-8"?>
<comments xmlns="http://schemas.openxmlformats.org/spreadsheetml/2006/main">
  <authors>
    <author>Hayden Keown</author>
  </authors>
  <commentList>
    <comment ref="AF2" authorId="0" shapeId="0">
      <text>
        <t>Hayden Keown:
Current FQ End Date</t>
      </text>
    </comment>
    <comment ref="AF4" authorId="0" shapeId="0">
      <text>
        <t>Hayden Keown:
Current FQ DQ 90+ Cutoff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2:Q49"/>
  <sheetViews>
    <sheetView showGridLines="0" zoomScale="85" zoomScaleNormal="85" workbookViewId="0">
      <selection activeCell="A1" sqref="A1"/>
    </sheetView>
  </sheetViews>
  <sheetFormatPr baseColWidth="8" defaultRowHeight="14.5" outlineLevelRow="1"/>
  <cols>
    <col width="29.453125" customWidth="1" min="2" max="2"/>
    <col width="17.26953125" customWidth="1" min="3" max="12"/>
    <col width="11.7265625" customWidth="1" min="14" max="17"/>
  </cols>
  <sheetData>
    <row r="2" ht="23.5" customHeight="1">
      <c r="B2" s="58" t="inlineStr">
        <is>
          <t>Bridge Portfolio</t>
        </is>
      </c>
    </row>
    <row r="4">
      <c r="B4" s="38" t="inlineStr">
        <is>
          <t>Summary by Segment:</t>
        </is>
      </c>
    </row>
    <row r="5" ht="22.5" customHeight="1" thickBot="1">
      <c r="B5" s="41" t="n"/>
      <c r="C5" s="41" t="inlineStr">
        <is>
          <t>Loan Count</t>
        </is>
      </c>
      <c r="D5" s="41" t="inlineStr">
        <is>
          <t>Asset Count</t>
        </is>
      </c>
      <c r="E5" s="41" t="inlineStr">
        <is>
          <t>Current</t>
        </is>
      </c>
      <c r="F5" s="41" t="inlineStr">
        <is>
          <t>DQ 1-29</t>
        </is>
      </c>
      <c r="G5" s="41" t="inlineStr">
        <is>
          <t>DQ 30-59</t>
        </is>
      </c>
      <c r="H5" s="41" t="inlineStr">
        <is>
          <t>DQ 60-89</t>
        </is>
      </c>
      <c r="I5" s="49" t="inlineStr">
        <is>
          <t>DQ 90+</t>
        </is>
      </c>
      <c r="J5" s="41" t="inlineStr">
        <is>
          <t>REO</t>
        </is>
      </c>
      <c r="K5" s="42" t="inlineStr">
        <is>
          <t>Total</t>
        </is>
      </c>
      <c r="L5" s="41" t="inlineStr">
        <is>
          <t>Total Ex. REO</t>
        </is>
      </c>
      <c r="N5" s="41" t="inlineStr">
        <is>
          <t>DQ 30+ %</t>
        </is>
      </c>
      <c r="O5" s="41" t="inlineStr">
        <is>
          <t>DQ 60+ %</t>
        </is>
      </c>
      <c r="P5" s="41" t="inlineStr">
        <is>
          <t>DQ 90+ %</t>
        </is>
      </c>
      <c r="Q5" s="41" t="inlineStr">
        <is>
          <t>REO %</t>
        </is>
      </c>
    </row>
    <row r="6" ht="15" customHeight="1" thickBot="1">
      <c r="B6" s="38" t="inlineStr">
        <is>
          <t>Legacy</t>
        </is>
      </c>
      <c r="C6" s="37">
        <f>COUNTIFS('Bridge Loan'!$AM:$AM,'Bridge Summary'!$B6)</f>
        <v/>
      </c>
      <c r="D6" s="37">
        <f>COUNTIFS('Bridge Asset'!$BU:$BU,'Bridge Summary'!$B6)</f>
        <v/>
      </c>
      <c r="E6" s="37">
        <f>SUMIFS('Bridge Asset'!$AJ:$AJ,'Bridge Asset'!$BU:$BU,'Bridge Summary'!$B6,'Bridge Asset'!$CR:$CR,'Bridge Summary'!E$5)</f>
        <v/>
      </c>
      <c r="F6" s="37">
        <f>SUMIFS('Bridge Asset'!$AJ:$AJ,'Bridge Asset'!$BU:$BU,'Bridge Summary'!$B6,'Bridge Asset'!$CR:$CR,'Bridge Summary'!F$5)</f>
        <v/>
      </c>
      <c r="G6" s="37">
        <f>SUMIFS('Bridge Asset'!$AJ:$AJ,'Bridge Asset'!$BU:$BU,'Bridge Summary'!$B6,'Bridge Asset'!$CR:$CR,'Bridge Summary'!G$5)</f>
        <v/>
      </c>
      <c r="H6" s="37">
        <f>SUMIFS('Bridge Asset'!$AJ:$AJ,'Bridge Asset'!$BU:$BU,'Bridge Summary'!$B6,'Bridge Asset'!$CR:$CR,'Bridge Summary'!H$5)</f>
        <v/>
      </c>
      <c r="I6" s="50">
        <f>SUMIFS('Bridge Asset'!$AJ:$AJ,'Bridge Asset'!$BU:$BU,'Bridge Summary'!$B6,'Bridge Asset'!$CR:$CR,'Bridge Summary'!I$5)</f>
        <v/>
      </c>
      <c r="J6" s="37">
        <f>SUMIFS('Bridge Asset'!$AJ:$AJ,'Bridge Asset'!$BU:$BU,'Bridge Summary'!$B6,'Bridge Asset'!$CR:$CR,'Bridge Summary'!J$5)</f>
        <v/>
      </c>
      <c r="K6" s="43">
        <f>SUM($E6:$J6)</f>
        <v/>
      </c>
      <c r="L6" s="37">
        <f>+$K6-$J6</f>
        <v/>
      </c>
      <c r="N6" s="12">
        <f>IFERROR(SUM($G6:$I6)/$L6,"N/A")</f>
        <v/>
      </c>
      <c r="O6" s="12">
        <f>IFERROR(SUM($H6:$I6)/$L6,"N/A")</f>
        <v/>
      </c>
      <c r="P6" s="12">
        <f>IFERROR($I6/$L6,"N/A")</f>
        <v/>
      </c>
      <c r="Q6" s="12">
        <f>IFERROR($J6/$K6,"N/A")</f>
        <v/>
      </c>
    </row>
    <row r="7" ht="15" customHeight="1" thickBot="1">
      <c r="B7" s="38" t="inlineStr">
        <is>
          <t>Securitized Bridge</t>
        </is>
      </c>
      <c r="C7" s="37">
        <f>SUM(C$8:C$14)</f>
        <v/>
      </c>
      <c r="D7" s="37">
        <f>SUM(D$8:D$14)</f>
        <v/>
      </c>
      <c r="E7" s="37">
        <f>SUM(E$8:E$14)</f>
        <v/>
      </c>
      <c r="F7" s="37">
        <f>SUM(F$8:F$14)</f>
        <v/>
      </c>
      <c r="G7" s="37">
        <f>SUM(G$8:G$14)</f>
        <v/>
      </c>
      <c r="H7" s="37">
        <f>SUM(H$8:H$14)</f>
        <v/>
      </c>
      <c r="I7" s="37">
        <f>SUM(I$8:I$14)</f>
        <v/>
      </c>
      <c r="J7" s="37">
        <f>SUM(J$8:J$14)</f>
        <v/>
      </c>
      <c r="K7" s="43">
        <f>SUM($E7:$J7)</f>
        <v/>
      </c>
      <c r="L7" s="37">
        <f>+$K7-$J7</f>
        <v/>
      </c>
      <c r="N7" s="12">
        <f>IFERROR(SUM($G7:$I7)/$L7,"N/A")</f>
        <v/>
      </c>
      <c r="O7" s="12">
        <f>IFERROR(SUM($H7:$I7)/$L7,"N/A")</f>
        <v/>
      </c>
      <c r="P7" s="23">
        <f>IFERROR($I7/$L7,"N/A")</f>
        <v/>
      </c>
      <c r="Q7" s="12">
        <f>IFERROR($J7/$K7,"N/A")</f>
        <v/>
      </c>
    </row>
    <row r="8" outlineLevel="1" ht="15" customHeight="1">
      <c r="B8" s="40" t="inlineStr">
        <is>
          <t>CAFL 2024-RTL1 CPP</t>
        </is>
      </c>
      <c r="C8" s="26">
        <f>COUNTIFS('Bridge Loan'!$AM:$AM,'Bridge Summary'!$B$7,'Bridge Loan'!$D:$D,'Bridge Summary'!$B8)</f>
        <v/>
      </c>
      <c r="D8" s="26">
        <f>COUNTIFS('Bridge Asset'!$BU:$BU,'Bridge Summary'!$B$7,'Bridge Asset'!$D:$D,'Bridge Summary'!$B8)</f>
        <v/>
      </c>
      <c r="E8" s="26">
        <f>SUMIFS('Bridge Asset'!$AJ:$AJ,'Bridge Asset'!$BU:$BU,'Bridge Summary'!$B$7,'Bridge Asset'!$D:$D,'Bridge Summary'!$B8,'Bridge Asset'!$CR:$CR,'Bridge Summary'!E$5)</f>
        <v/>
      </c>
      <c r="F8" s="26">
        <f>SUMIFS('Bridge Asset'!$AJ:$AJ,'Bridge Asset'!$BU:$BU,'Bridge Summary'!$B$7,'Bridge Asset'!$D:$D,'Bridge Summary'!$B8,'Bridge Asset'!$CR:$CR,'Bridge Summary'!F$5)</f>
        <v/>
      </c>
      <c r="G8" s="26">
        <f>SUMIFS('Bridge Asset'!$AJ:$AJ,'Bridge Asset'!$BU:$BU,'Bridge Summary'!$B$7,'Bridge Asset'!$D:$D,'Bridge Summary'!$B8,'Bridge Asset'!$CR:$CR,'Bridge Summary'!G$5)</f>
        <v/>
      </c>
      <c r="H8" s="26">
        <f>SUMIFS('Bridge Asset'!$AJ:$AJ,'Bridge Asset'!$BU:$BU,'Bridge Summary'!$B$7,'Bridge Asset'!$D:$D,'Bridge Summary'!$B8,'Bridge Asset'!$CR:$CR,'Bridge Summary'!H$5)</f>
        <v/>
      </c>
      <c r="I8" s="26">
        <f>SUMIFS('Bridge Asset'!$AJ:$AJ,'Bridge Asset'!$BU:$BU,'Bridge Summary'!$B$7,'Bridge Asset'!$D:$D,'Bridge Summary'!$B8,'Bridge Asset'!$CR:$CR,'Bridge Summary'!I$5)</f>
        <v/>
      </c>
      <c r="J8" s="26">
        <f>SUMIFS('Bridge Asset'!$AJ:$AJ,'Bridge Asset'!$BU:$BU,'Bridge Summary'!$B$7,'Bridge Asset'!$D:$D,'Bridge Summary'!$B8,'Bridge Asset'!$CR:$CR,'Bridge Summary'!J$5)</f>
        <v/>
      </c>
      <c r="K8" s="44">
        <f>SUM($E8:$J8)</f>
        <v/>
      </c>
      <c r="L8" s="26">
        <f>+$K8-$J8</f>
        <v/>
      </c>
      <c r="N8" s="12">
        <f>IFERROR(SUM($G8:$I8)/$L8,"N/A")</f>
        <v/>
      </c>
      <c r="O8" s="12">
        <f>IFERROR(SUM($H8:$I8)/$L8,"N/A")</f>
        <v/>
      </c>
      <c r="P8" s="12">
        <f>IFERROR($I8/$L8,"N/A")</f>
        <v/>
      </c>
      <c r="Q8" s="12">
        <f>IFERROR($J8/$K8,"N/A")</f>
        <v/>
      </c>
    </row>
    <row r="9" outlineLevel="1" ht="15" customHeight="1">
      <c r="B9" s="40" t="inlineStr">
        <is>
          <t>CAFL 2024-RTL1 CV</t>
        </is>
      </c>
      <c r="C9" s="26">
        <f>COUNTIFS('Bridge Loan'!$AM:$AM,'Bridge Summary'!$B$7,'Bridge Loan'!$D:$D,'Bridge Summary'!$B9)</f>
        <v/>
      </c>
      <c r="D9" s="26">
        <f>COUNTIFS('Bridge Asset'!$BU:$BU,'Bridge Summary'!$B$7,'Bridge Asset'!$D:$D,'Bridge Summary'!$B9)</f>
        <v/>
      </c>
      <c r="E9" s="26">
        <f>SUMIFS('Bridge Asset'!$AJ:$AJ,'Bridge Asset'!$BU:$BU,'Bridge Summary'!$B$7,'Bridge Asset'!$D:$D,'Bridge Summary'!$B9,'Bridge Asset'!$CR:$CR,'Bridge Summary'!E$5)</f>
        <v/>
      </c>
      <c r="F9" s="26">
        <f>SUMIFS('Bridge Asset'!$AJ:$AJ,'Bridge Asset'!$BU:$BU,'Bridge Summary'!$B$7,'Bridge Asset'!$D:$D,'Bridge Summary'!$B9,'Bridge Asset'!$CR:$CR,'Bridge Summary'!F$5)</f>
        <v/>
      </c>
      <c r="G9" s="26">
        <f>SUMIFS('Bridge Asset'!$AJ:$AJ,'Bridge Asset'!$BU:$BU,'Bridge Summary'!$B$7,'Bridge Asset'!$D:$D,'Bridge Summary'!$B9,'Bridge Asset'!$CR:$CR,'Bridge Summary'!G$5)</f>
        <v/>
      </c>
      <c r="H9" s="26">
        <f>SUMIFS('Bridge Asset'!$AJ:$AJ,'Bridge Asset'!$BU:$BU,'Bridge Summary'!$B$7,'Bridge Asset'!$D:$D,'Bridge Summary'!$B9,'Bridge Asset'!$CR:$CR,'Bridge Summary'!H$5)</f>
        <v/>
      </c>
      <c r="I9" s="26">
        <f>SUMIFS('Bridge Asset'!$AJ:$AJ,'Bridge Asset'!$BU:$BU,'Bridge Summary'!$B$7,'Bridge Asset'!$D:$D,'Bridge Summary'!$B9,'Bridge Asset'!$CR:$CR,'Bridge Summary'!I$5)</f>
        <v/>
      </c>
      <c r="J9" s="26">
        <f>SUMIFS('Bridge Asset'!$AJ:$AJ,'Bridge Asset'!$BU:$BU,'Bridge Summary'!$B$7,'Bridge Asset'!$D:$D,'Bridge Summary'!$B9,'Bridge Asset'!$CR:$CR,'Bridge Summary'!J$5)</f>
        <v/>
      </c>
      <c r="K9" s="44">
        <f>SUM($E9:$J9)</f>
        <v/>
      </c>
      <c r="L9" s="26">
        <f>+$K9-$J9</f>
        <v/>
      </c>
      <c r="N9" s="12">
        <f>IFERROR(SUM($G9:$I9)/$L9,"N/A")</f>
        <v/>
      </c>
      <c r="O9" s="12">
        <f>IFERROR(SUM($H9:$I9)/$L9,"N/A")</f>
        <v/>
      </c>
      <c r="P9" s="12">
        <f>IFERROR($I9/$L9,"N/A")</f>
        <v/>
      </c>
      <c r="Q9" s="12">
        <f>IFERROR($J9/$K9,"N/A")</f>
        <v/>
      </c>
    </row>
    <row r="10" outlineLevel="1" ht="15" customHeight="1">
      <c r="B10" s="40" t="inlineStr">
        <is>
          <t>CAFL 2025-RRTL1 CPP</t>
        </is>
      </c>
      <c r="C10" s="26">
        <f>COUNTIFS('Bridge Loan'!$AM:$AM,'Bridge Summary'!$B$7,'Bridge Loan'!$D:$D,'Bridge Summary'!$B10)</f>
        <v/>
      </c>
      <c r="D10" s="26">
        <f>COUNTIFS('Bridge Asset'!$BU:$BU,'Bridge Summary'!$B$7,'Bridge Asset'!$D:$D,'Bridge Summary'!$B10)</f>
        <v/>
      </c>
      <c r="E10" s="26">
        <f>SUMIFS('Bridge Asset'!$AJ:$AJ,'Bridge Asset'!$BU:$BU,'Bridge Summary'!$B$7,'Bridge Asset'!$D:$D,'Bridge Summary'!$B10,'Bridge Asset'!$CR:$CR,'Bridge Summary'!E$5)</f>
        <v/>
      </c>
      <c r="F10" s="26">
        <f>SUMIFS('Bridge Asset'!$AJ:$AJ,'Bridge Asset'!$BU:$BU,'Bridge Summary'!$B$7,'Bridge Asset'!$D:$D,'Bridge Summary'!$B10,'Bridge Asset'!$CR:$CR,'Bridge Summary'!F$5)</f>
        <v/>
      </c>
      <c r="G10" s="26">
        <f>SUMIFS('Bridge Asset'!$AJ:$AJ,'Bridge Asset'!$BU:$BU,'Bridge Summary'!$B$7,'Bridge Asset'!$D:$D,'Bridge Summary'!$B10,'Bridge Asset'!$CR:$CR,'Bridge Summary'!G$5)</f>
        <v/>
      </c>
      <c r="H10" s="26">
        <f>SUMIFS('Bridge Asset'!$AJ:$AJ,'Bridge Asset'!$BU:$BU,'Bridge Summary'!$B$7,'Bridge Asset'!$D:$D,'Bridge Summary'!$B10,'Bridge Asset'!$CR:$CR,'Bridge Summary'!H$5)</f>
        <v/>
      </c>
      <c r="I10" s="26">
        <f>SUMIFS('Bridge Asset'!$AJ:$AJ,'Bridge Asset'!$BU:$BU,'Bridge Summary'!$B$7,'Bridge Asset'!$D:$D,'Bridge Summary'!$B10,'Bridge Asset'!$CR:$CR,'Bridge Summary'!I$5)</f>
        <v/>
      </c>
      <c r="J10" s="26">
        <f>SUMIFS('Bridge Asset'!$AJ:$AJ,'Bridge Asset'!$BU:$BU,'Bridge Summary'!$B$7,'Bridge Asset'!$D:$D,'Bridge Summary'!$B10,'Bridge Asset'!$CR:$CR,'Bridge Summary'!J$5)</f>
        <v/>
      </c>
      <c r="K10" s="44">
        <f>SUM($E10:$J10)</f>
        <v/>
      </c>
      <c r="L10" s="26">
        <f>+$K10-$J10</f>
        <v/>
      </c>
      <c r="N10" s="12">
        <f>IFERROR(SUM($G10:$I10)/$L10,"N/A")</f>
        <v/>
      </c>
      <c r="O10" s="12">
        <f>IFERROR(SUM($H10:$I10)/$L10,"N/A")</f>
        <v/>
      </c>
      <c r="P10" s="12">
        <f>IFERROR($I10/$L10,"N/A")</f>
        <v/>
      </c>
      <c r="Q10" s="12">
        <f>IFERROR($J10/$K10,"N/A")</f>
        <v/>
      </c>
    </row>
    <row r="11" outlineLevel="1" ht="15" customHeight="1">
      <c r="B11" s="40" t="inlineStr">
        <is>
          <t>CAFL 2025-RRTL1 CV</t>
        </is>
      </c>
      <c r="C11" s="26">
        <f>COUNTIFS('Bridge Loan'!$AM:$AM,'Bridge Summary'!$B$7,'Bridge Loan'!$D:$D,'Bridge Summary'!$B11)</f>
        <v/>
      </c>
      <c r="D11" s="26">
        <f>COUNTIFS('Bridge Asset'!$BU:$BU,'Bridge Summary'!$B$7,'Bridge Asset'!$D:$D,'Bridge Summary'!$B11)</f>
        <v/>
      </c>
      <c r="E11" s="26">
        <f>SUMIFS('Bridge Asset'!$AJ:$AJ,'Bridge Asset'!$BU:$BU,'Bridge Summary'!$B$7,'Bridge Asset'!$D:$D,'Bridge Summary'!$B11,'Bridge Asset'!$CR:$CR,'Bridge Summary'!E$5)</f>
        <v/>
      </c>
      <c r="F11" s="26">
        <f>SUMIFS('Bridge Asset'!$AJ:$AJ,'Bridge Asset'!$BU:$BU,'Bridge Summary'!$B$7,'Bridge Asset'!$D:$D,'Bridge Summary'!$B11,'Bridge Asset'!$CR:$CR,'Bridge Summary'!F$5)</f>
        <v/>
      </c>
      <c r="G11" s="26">
        <f>SUMIFS('Bridge Asset'!$AJ:$AJ,'Bridge Asset'!$BU:$BU,'Bridge Summary'!$B$7,'Bridge Asset'!$D:$D,'Bridge Summary'!$B11,'Bridge Asset'!$CR:$CR,'Bridge Summary'!G$5)</f>
        <v/>
      </c>
      <c r="H11" s="26">
        <f>SUMIFS('Bridge Asset'!$AJ:$AJ,'Bridge Asset'!$BU:$BU,'Bridge Summary'!$B$7,'Bridge Asset'!$D:$D,'Bridge Summary'!$B11,'Bridge Asset'!$CR:$CR,'Bridge Summary'!H$5)</f>
        <v/>
      </c>
      <c r="I11" s="26">
        <f>SUMIFS('Bridge Asset'!$AJ:$AJ,'Bridge Asset'!$BU:$BU,'Bridge Summary'!$B$7,'Bridge Asset'!$D:$D,'Bridge Summary'!$B11,'Bridge Asset'!$CR:$CR,'Bridge Summary'!I$5)</f>
        <v/>
      </c>
      <c r="J11" s="26">
        <f>SUMIFS('Bridge Asset'!$AJ:$AJ,'Bridge Asset'!$BU:$BU,'Bridge Summary'!$B$7,'Bridge Asset'!$D:$D,'Bridge Summary'!$B11,'Bridge Asset'!$CR:$CR,'Bridge Summary'!J$5)</f>
        <v/>
      </c>
      <c r="K11" s="44">
        <f>SUM($E11:$J11)</f>
        <v/>
      </c>
      <c r="L11" s="26">
        <f>+$K11-$J11</f>
        <v/>
      </c>
      <c r="N11" s="12">
        <f>IFERROR(SUM($G11:$I11)/$L11,"N/A")</f>
        <v/>
      </c>
      <c r="O11" s="12">
        <f>IFERROR(SUM($H11:$I11)/$L11,"N/A")</f>
        <v/>
      </c>
      <c r="P11" s="12">
        <f>IFERROR($I11/$L11,"N/A")</f>
        <v/>
      </c>
      <c r="Q11" s="12">
        <f>IFERROR($J11/$K11,"N/A")</f>
        <v/>
      </c>
    </row>
    <row r="12" outlineLevel="1" ht="15" customHeight="1">
      <c r="B12" s="40" t="inlineStr">
        <is>
          <t>CAFL 2025-RRTL2 CPP</t>
        </is>
      </c>
      <c r="C12" s="26">
        <f>COUNTIFS('Bridge Loan'!$AM:$AM,'Bridge Summary'!$B$7,'Bridge Loan'!$D:$D,'Bridge Summary'!$B12)</f>
        <v/>
      </c>
      <c r="D12" s="26">
        <f>COUNTIFS('Bridge Asset'!$BU:$BU,'Bridge Summary'!$B$7,'Bridge Asset'!$D:$D,'Bridge Summary'!$B12)</f>
        <v/>
      </c>
      <c r="E12" s="26">
        <f>SUMIFS('Bridge Asset'!$AJ:$AJ,'Bridge Asset'!$BU:$BU,'Bridge Summary'!$B$7,'Bridge Asset'!$D:$D,'Bridge Summary'!$B12,'Bridge Asset'!$CR:$CR,'Bridge Summary'!E$5)</f>
        <v/>
      </c>
      <c r="F12" s="26">
        <f>SUMIFS('Bridge Asset'!$AJ:$AJ,'Bridge Asset'!$BU:$BU,'Bridge Summary'!$B$7,'Bridge Asset'!$D:$D,'Bridge Summary'!$B12,'Bridge Asset'!$CR:$CR,'Bridge Summary'!F$5)</f>
        <v/>
      </c>
      <c r="G12" s="26">
        <f>SUMIFS('Bridge Asset'!$AJ:$AJ,'Bridge Asset'!$BU:$BU,'Bridge Summary'!$B$7,'Bridge Asset'!$D:$D,'Bridge Summary'!$B12,'Bridge Asset'!$CR:$CR,'Bridge Summary'!G$5)</f>
        <v/>
      </c>
      <c r="H12" s="26">
        <f>SUMIFS('Bridge Asset'!$AJ:$AJ,'Bridge Asset'!$BU:$BU,'Bridge Summary'!$B$7,'Bridge Asset'!$D:$D,'Bridge Summary'!$B12,'Bridge Asset'!$CR:$CR,'Bridge Summary'!H$5)</f>
        <v/>
      </c>
      <c r="I12" s="26">
        <f>SUMIFS('Bridge Asset'!$AJ:$AJ,'Bridge Asset'!$BU:$BU,'Bridge Summary'!$B$7,'Bridge Asset'!$D:$D,'Bridge Summary'!$B12,'Bridge Asset'!$CR:$CR,'Bridge Summary'!I$5)</f>
        <v/>
      </c>
      <c r="J12" s="26">
        <f>SUMIFS('Bridge Asset'!$AJ:$AJ,'Bridge Asset'!$BU:$BU,'Bridge Summary'!$B$7,'Bridge Asset'!$D:$D,'Bridge Summary'!$B12,'Bridge Asset'!$CR:$CR,'Bridge Summary'!J$5)</f>
        <v/>
      </c>
      <c r="K12" s="44">
        <f>SUM($E12:$J12)</f>
        <v/>
      </c>
      <c r="L12" s="26">
        <f>+$K12-$J12</f>
        <v/>
      </c>
      <c r="N12" s="12">
        <f>IFERROR(SUM($G12:$I12)/$L12,"N/A")</f>
        <v/>
      </c>
      <c r="O12" s="12">
        <f>IFERROR(SUM($H12:$I12)/$L12,"N/A")</f>
        <v/>
      </c>
      <c r="P12" s="12">
        <f>IFERROR($I12/$L12,"N/A")</f>
        <v/>
      </c>
      <c r="Q12" s="12">
        <f>IFERROR($J12/$K12,"N/A")</f>
        <v/>
      </c>
    </row>
    <row r="13" outlineLevel="1" ht="15" customHeight="1">
      <c r="B13" s="40" t="inlineStr">
        <is>
          <t>CAFL 2025-RRTL2 CV</t>
        </is>
      </c>
      <c r="C13" s="26">
        <f>COUNTIFS('Bridge Loan'!$AM:$AM,'Bridge Summary'!$B$7,'Bridge Loan'!$D:$D,'Bridge Summary'!$B13)</f>
        <v/>
      </c>
      <c r="D13" s="26">
        <f>COUNTIFS('Bridge Asset'!$BU:$BU,'Bridge Summary'!$B$7,'Bridge Asset'!$D:$D,'Bridge Summary'!$B13)</f>
        <v/>
      </c>
      <c r="E13" s="26">
        <f>SUMIFS('Bridge Asset'!$AJ:$AJ,'Bridge Asset'!$BU:$BU,'Bridge Summary'!$B$7,'Bridge Asset'!$D:$D,'Bridge Summary'!$B13,'Bridge Asset'!$CR:$CR,'Bridge Summary'!E$5)</f>
        <v/>
      </c>
      <c r="F13" s="26">
        <f>SUMIFS('Bridge Asset'!$AJ:$AJ,'Bridge Asset'!$BU:$BU,'Bridge Summary'!$B$7,'Bridge Asset'!$D:$D,'Bridge Summary'!$B13,'Bridge Asset'!$CR:$CR,'Bridge Summary'!F$5)</f>
        <v/>
      </c>
      <c r="G13" s="26">
        <f>SUMIFS('Bridge Asset'!$AJ:$AJ,'Bridge Asset'!$BU:$BU,'Bridge Summary'!$B$7,'Bridge Asset'!$D:$D,'Bridge Summary'!$B13,'Bridge Asset'!$CR:$CR,'Bridge Summary'!G$5)</f>
        <v/>
      </c>
      <c r="H13" s="26">
        <f>SUMIFS('Bridge Asset'!$AJ:$AJ,'Bridge Asset'!$BU:$BU,'Bridge Summary'!$B$7,'Bridge Asset'!$D:$D,'Bridge Summary'!$B13,'Bridge Asset'!$CR:$CR,'Bridge Summary'!H$5)</f>
        <v/>
      </c>
      <c r="I13" s="26">
        <f>SUMIFS('Bridge Asset'!$AJ:$AJ,'Bridge Asset'!$BU:$BU,'Bridge Summary'!$B$7,'Bridge Asset'!$D:$D,'Bridge Summary'!$B13,'Bridge Asset'!$CR:$CR,'Bridge Summary'!I$5)</f>
        <v/>
      </c>
      <c r="J13" s="26">
        <f>SUMIFS('Bridge Asset'!$AJ:$AJ,'Bridge Asset'!$BU:$BU,'Bridge Summary'!$B$7,'Bridge Asset'!$D:$D,'Bridge Summary'!$B13,'Bridge Asset'!$CR:$CR,'Bridge Summary'!J$5)</f>
        <v/>
      </c>
      <c r="K13" s="44">
        <f>SUM($E13:$J13)</f>
        <v/>
      </c>
      <c r="L13" s="26">
        <f>+$K13-$J13</f>
        <v/>
      </c>
      <c r="N13" s="12">
        <f>IFERROR(SUM($G13:$I13)/$L13,"N/A")</f>
        <v/>
      </c>
      <c r="O13" s="12">
        <f>IFERROR(SUM($H13:$I13)/$L13,"N/A")</f>
        <v/>
      </c>
      <c r="P13" s="12">
        <f>IFERROR($I13/$L13,"N/A")</f>
        <v/>
      </c>
      <c r="Q13" s="12">
        <f>IFERROR($J13/$K13,"N/A")</f>
        <v/>
      </c>
    </row>
    <row r="14" outlineLevel="1" ht="15" customHeight="1">
      <c r="B14" s="40" t="inlineStr">
        <is>
          <t>CAFL 2026-R1 CV</t>
        </is>
      </c>
      <c r="C14" s="26">
        <f>COUNTIFS('Bridge Loan'!$AM:$AM,'Bridge Summary'!$B$7,'Bridge Loan'!$D:$D,'Bridge Summary'!$B14)</f>
        <v/>
      </c>
      <c r="D14" s="26">
        <f>COUNTIFS('Bridge Asset'!$BU:$BU,'Bridge Summary'!$B$7,'Bridge Asset'!$D:$D,'Bridge Summary'!$B14)</f>
        <v/>
      </c>
      <c r="E14" s="26">
        <f>SUMIFS('Bridge Asset'!$AJ:$AJ,'Bridge Asset'!$BU:$BU,'Bridge Summary'!$B$7,'Bridge Asset'!$D:$D,'Bridge Summary'!$B14,'Bridge Asset'!$CR:$CR,'Bridge Summary'!E$5)</f>
        <v/>
      </c>
      <c r="F14" s="26">
        <f>SUMIFS('Bridge Asset'!$AJ:$AJ,'Bridge Asset'!$BU:$BU,'Bridge Summary'!$B$7,'Bridge Asset'!$D:$D,'Bridge Summary'!$B14,'Bridge Asset'!$CR:$CR,'Bridge Summary'!F$5)</f>
        <v/>
      </c>
      <c r="G14" s="26">
        <f>SUMIFS('Bridge Asset'!$AJ:$AJ,'Bridge Asset'!$BU:$BU,'Bridge Summary'!$B$7,'Bridge Asset'!$D:$D,'Bridge Summary'!$B14,'Bridge Asset'!$CR:$CR,'Bridge Summary'!G$5)</f>
        <v/>
      </c>
      <c r="H14" s="26">
        <f>SUMIFS('Bridge Asset'!$AJ:$AJ,'Bridge Asset'!$BU:$BU,'Bridge Summary'!$B$7,'Bridge Asset'!$D:$D,'Bridge Summary'!$B14,'Bridge Asset'!$CR:$CR,'Bridge Summary'!H$5)</f>
        <v/>
      </c>
      <c r="I14" s="26">
        <f>SUMIFS('Bridge Asset'!$AJ:$AJ,'Bridge Asset'!$BU:$BU,'Bridge Summary'!$B$7,'Bridge Asset'!$D:$D,'Bridge Summary'!$B14,'Bridge Asset'!$CR:$CR,'Bridge Summary'!I$5)</f>
        <v/>
      </c>
      <c r="J14" s="26">
        <f>SUMIFS('Bridge Asset'!$AJ:$AJ,'Bridge Asset'!$BU:$BU,'Bridge Summary'!$B$7,'Bridge Asset'!$D:$D,'Bridge Summary'!$B14,'Bridge Asset'!$CR:$CR,'Bridge Summary'!J$5)</f>
        <v/>
      </c>
      <c r="K14" s="44">
        <f>SUM($E14:$J14)</f>
        <v/>
      </c>
      <c r="L14" s="26">
        <f>+$K14-$J14</f>
        <v/>
      </c>
      <c r="N14" s="12">
        <f>IFERROR(SUM($G14:$I14)/$L14,"N/A")</f>
        <v/>
      </c>
      <c r="O14" s="12">
        <f>IFERROR(SUM($H14:$I14)/$L14,"N/A")</f>
        <v/>
      </c>
      <c r="P14" s="12">
        <f>IFERROR($I14/$L14,"N/A")</f>
        <v/>
      </c>
      <c r="Q14" s="12">
        <f>IFERROR($J14/$K14,"N/A")</f>
        <v/>
      </c>
    </row>
    <row r="15" ht="15" customHeight="1">
      <c r="B15" s="38" t="inlineStr">
        <is>
          <t>Mortgage Banking</t>
        </is>
      </c>
      <c r="C15" s="37">
        <f>COUNTIFS('Bridge Loan'!$AM:$AM,'Bridge Summary'!$B15)</f>
        <v/>
      </c>
      <c r="D15" s="37">
        <f>COUNTIFS('Bridge Asset'!$BU:$BU,'Bridge Summary'!$B15)</f>
        <v/>
      </c>
      <c r="E15" s="37">
        <f>SUMIFS('Bridge Asset'!$AJ:$AJ,'Bridge Asset'!$BU:$BU,'Bridge Summary'!$B15,'Bridge Asset'!$CR:$CR,'Bridge Summary'!E$5)</f>
        <v/>
      </c>
      <c r="F15" s="37">
        <f>SUMIFS('Bridge Asset'!$AJ:$AJ,'Bridge Asset'!$BU:$BU,'Bridge Summary'!$B15,'Bridge Asset'!$CR:$CR,'Bridge Summary'!F$5)</f>
        <v/>
      </c>
      <c r="G15" s="37">
        <f>SUMIFS('Bridge Asset'!$AJ:$AJ,'Bridge Asset'!$BU:$BU,'Bridge Summary'!$B15,'Bridge Asset'!$CR:$CR,'Bridge Summary'!G$5)</f>
        <v/>
      </c>
      <c r="H15" s="37">
        <f>SUMIFS('Bridge Asset'!$AJ:$AJ,'Bridge Asset'!$BU:$BU,'Bridge Summary'!$B15,'Bridge Asset'!$CR:$CR,'Bridge Summary'!H$5)</f>
        <v/>
      </c>
      <c r="I15" s="37">
        <f>SUMIFS('Bridge Asset'!$AJ:$AJ,'Bridge Asset'!$BU:$BU,'Bridge Summary'!$B15,'Bridge Asset'!$CR:$CR,'Bridge Summary'!I$5)</f>
        <v/>
      </c>
      <c r="J15" s="37">
        <f>SUMIFS('Bridge Asset'!$AJ:$AJ,'Bridge Asset'!$BU:$BU,'Bridge Summary'!$B15,'Bridge Asset'!$CR:$CR,'Bridge Summary'!J$5)</f>
        <v/>
      </c>
      <c r="K15" s="43">
        <f>SUM($E15:$J15)</f>
        <v/>
      </c>
      <c r="L15" s="37">
        <f>+$K15-$J15</f>
        <v/>
      </c>
      <c r="N15" s="12">
        <f>IFERROR(SUM($G15:$I15)/$L15,"N/A")</f>
        <v/>
      </c>
      <c r="O15" s="12">
        <f>IFERROR(SUM($H15:$I15)/$L15,"N/A")</f>
        <v/>
      </c>
      <c r="P15" s="12">
        <f>IFERROR($I15/$L15,"N/A")</f>
        <v/>
      </c>
      <c r="Q15" s="12">
        <f>IFERROR($J15/$K15,"N/A")</f>
        <v/>
      </c>
    </row>
    <row r="16" ht="15" customHeight="1">
      <c r="B16" s="38" t="inlineStr">
        <is>
          <t>SSP</t>
        </is>
      </c>
      <c r="C16" s="37">
        <f>COUNTIFS('Bridge Loan'!$AM:$AM,'Bridge Summary'!$B16)</f>
        <v/>
      </c>
      <c r="D16" s="37">
        <f>COUNTIFS('Bridge Asset'!$BU:$BU,'Bridge Summary'!$B16)</f>
        <v/>
      </c>
      <c r="E16" s="37">
        <f>SUMIFS('Bridge Asset'!$AJ:$AJ,'Bridge Asset'!$BU:$BU,'Bridge Summary'!$B16,'Bridge Asset'!$CR:$CR,'Bridge Summary'!E$5)</f>
        <v/>
      </c>
      <c r="F16" s="37">
        <f>SUMIFS('Bridge Asset'!$AJ:$AJ,'Bridge Asset'!$BU:$BU,'Bridge Summary'!$B16,'Bridge Asset'!$CR:$CR,'Bridge Summary'!F$5)</f>
        <v/>
      </c>
      <c r="G16" s="37">
        <f>SUMIFS('Bridge Asset'!$AJ:$AJ,'Bridge Asset'!$BU:$BU,'Bridge Summary'!$B16,'Bridge Asset'!$CR:$CR,'Bridge Summary'!G$5)</f>
        <v/>
      </c>
      <c r="H16" s="37">
        <f>SUMIFS('Bridge Asset'!$AJ:$AJ,'Bridge Asset'!$BU:$BU,'Bridge Summary'!$B16,'Bridge Asset'!$CR:$CR,'Bridge Summary'!H$5)</f>
        <v/>
      </c>
      <c r="I16" s="37">
        <f>SUMIFS('Bridge Asset'!$AJ:$AJ,'Bridge Asset'!$BU:$BU,'Bridge Summary'!$B16,'Bridge Asset'!$CR:$CR,'Bridge Summary'!I$5)</f>
        <v/>
      </c>
      <c r="J16" s="37">
        <f>SUMIFS('Bridge Asset'!$AJ:$AJ,'Bridge Asset'!$BU:$BU,'Bridge Summary'!$B16,'Bridge Asset'!$CR:$CR,'Bridge Summary'!J$5)</f>
        <v/>
      </c>
      <c r="K16" s="43">
        <f>SUM($E16:$J16)</f>
        <v/>
      </c>
      <c r="L16" s="37">
        <f>+$K16-$J16</f>
        <v/>
      </c>
      <c r="N16" s="12">
        <f>IFERROR(SUM($G16:$I16)/$L16,"N/A")</f>
        <v/>
      </c>
      <c r="O16" s="12">
        <f>IFERROR(SUM($H16:$I16)/$L16,"N/A")</f>
        <v/>
      </c>
      <c r="P16" s="12">
        <f>IFERROR($I16/$L16,"N/A")</f>
        <v/>
      </c>
      <c r="Q16" s="12">
        <f>IFERROR($J16/$K16,"N/A")</f>
        <v/>
      </c>
    </row>
    <row r="17" ht="15" customHeight="1">
      <c r="B17" s="38" t="inlineStr">
        <is>
          <t>CPP JV</t>
        </is>
      </c>
      <c r="C17" s="37">
        <f>COUNTIFS('Bridge Loan'!$AM:$AM,'Bridge Summary'!$B17)</f>
        <v/>
      </c>
      <c r="D17" s="37">
        <f>COUNTIFS('Bridge Asset'!$BU:$BU,'Bridge Summary'!$B17)</f>
        <v/>
      </c>
      <c r="E17" s="37">
        <f>SUMIFS('Bridge Asset'!$AJ:$AJ,'Bridge Asset'!$BU:$BU,'Bridge Summary'!$B17,'Bridge Asset'!$CR:$CR,'Bridge Summary'!E$5)</f>
        <v/>
      </c>
      <c r="F17" s="37">
        <f>SUMIFS('Bridge Asset'!$AJ:$AJ,'Bridge Asset'!$BU:$BU,'Bridge Summary'!$B17,'Bridge Asset'!$CR:$CR,'Bridge Summary'!F$5)</f>
        <v/>
      </c>
      <c r="G17" s="37">
        <f>SUMIFS('Bridge Asset'!$AJ:$AJ,'Bridge Asset'!$BU:$BU,'Bridge Summary'!$B17,'Bridge Asset'!$CR:$CR,'Bridge Summary'!G$5)</f>
        <v/>
      </c>
      <c r="H17" s="37">
        <f>SUMIFS('Bridge Asset'!$AJ:$AJ,'Bridge Asset'!$BU:$BU,'Bridge Summary'!$B17,'Bridge Asset'!$CR:$CR,'Bridge Summary'!H$5)</f>
        <v/>
      </c>
      <c r="I17" s="37">
        <f>SUMIFS('Bridge Asset'!$AJ:$AJ,'Bridge Asset'!$BU:$BU,'Bridge Summary'!$B17,'Bridge Asset'!$CR:$CR,'Bridge Summary'!I$5)</f>
        <v/>
      </c>
      <c r="J17" s="37">
        <f>SUMIFS('Bridge Asset'!$AJ:$AJ,'Bridge Asset'!$BU:$BU,'Bridge Summary'!$B17,'Bridge Asset'!$CR:$CR,'Bridge Summary'!J$5)</f>
        <v/>
      </c>
      <c r="K17" s="43">
        <f>SUM($E17:$J17)</f>
        <v/>
      </c>
      <c r="L17" s="37">
        <f>+$K17-$J17</f>
        <v/>
      </c>
      <c r="N17" s="12">
        <f>IFERROR(SUM($G17:$I17)/$L17,"N/A")</f>
        <v/>
      </c>
      <c r="O17" s="12">
        <f>IFERROR(SUM($H17:$I17)/$L17,"N/A")</f>
        <v/>
      </c>
      <c r="P17" s="12">
        <f>IFERROR($I17/$L17,"N/A")</f>
        <v/>
      </c>
      <c r="Q17" s="12">
        <f>IFERROR($J17/$K17,"N/A")</f>
        <v/>
      </c>
    </row>
    <row r="18" ht="15" customHeight="1">
      <c r="B18" s="38" t="inlineStr">
        <is>
          <t>Oaktree JV</t>
        </is>
      </c>
      <c r="C18" s="37">
        <f>COUNTIFS('Bridge Loan'!$AM:$AM,'Bridge Summary'!$B18)</f>
        <v/>
      </c>
      <c r="D18" s="37">
        <f>COUNTIFS('Bridge Asset'!$BU:$BU,'Bridge Summary'!$B18)</f>
        <v/>
      </c>
      <c r="E18" s="37">
        <f>SUMIFS('Bridge Asset'!$AJ:$AJ,'Bridge Asset'!$BU:$BU,'Bridge Summary'!$B18,'Bridge Asset'!$CR:$CR,'Bridge Summary'!E$5)</f>
        <v/>
      </c>
      <c r="F18" s="37">
        <f>SUMIFS('Bridge Asset'!$AJ:$AJ,'Bridge Asset'!$BU:$BU,'Bridge Summary'!$B18,'Bridge Asset'!$CR:$CR,'Bridge Summary'!F$5)</f>
        <v/>
      </c>
      <c r="G18" s="37">
        <f>SUMIFS('Bridge Asset'!$AJ:$AJ,'Bridge Asset'!$BU:$BU,'Bridge Summary'!$B18,'Bridge Asset'!$CR:$CR,'Bridge Summary'!G$5)</f>
        <v/>
      </c>
      <c r="H18" s="37">
        <f>SUMIFS('Bridge Asset'!$AJ:$AJ,'Bridge Asset'!$BU:$BU,'Bridge Summary'!$B18,'Bridge Asset'!$CR:$CR,'Bridge Summary'!H$5)</f>
        <v/>
      </c>
      <c r="I18" s="37">
        <f>SUMIFS('Bridge Asset'!$AJ:$AJ,'Bridge Asset'!$BU:$BU,'Bridge Summary'!$B18,'Bridge Asset'!$CR:$CR,'Bridge Summary'!I$5)</f>
        <v/>
      </c>
      <c r="J18" s="37">
        <f>SUMIFS('Bridge Asset'!$AJ:$AJ,'Bridge Asset'!$BU:$BU,'Bridge Summary'!$B18,'Bridge Asset'!$CR:$CR,'Bridge Summary'!J$5)</f>
        <v/>
      </c>
      <c r="K18" s="43">
        <f>SUM($E18:$J18)</f>
        <v/>
      </c>
      <c r="L18" s="37">
        <f>+$K18-$J18</f>
        <v/>
      </c>
      <c r="N18" s="12">
        <f>IFERROR(SUM($G18:$I18)/$L18,"N/A")</f>
        <v/>
      </c>
      <c r="O18" s="12">
        <f>IFERROR(SUM($H18:$I18)/$L18,"N/A")</f>
        <v/>
      </c>
      <c r="P18" s="12">
        <f>IFERROR($I18/$L18,"N/A")</f>
        <v/>
      </c>
      <c r="Q18" s="12">
        <f>IFERROR($J18/$K18,"N/A")</f>
        <v/>
      </c>
    </row>
    <row r="19" ht="15" customHeight="1">
      <c r="B19" s="38" t="inlineStr">
        <is>
          <t>Sold Servicing Retained</t>
        </is>
      </c>
      <c r="C19" s="37">
        <f>COUNTIFS('Bridge Loan'!$AM:$AM,'Bridge Summary'!$B19)</f>
        <v/>
      </c>
      <c r="D19" s="37">
        <f>COUNTIFS('Bridge Asset'!$BU:$BU,'Bridge Summary'!$B19)</f>
        <v/>
      </c>
      <c r="E19" s="37">
        <f>SUMIFS('Bridge Asset'!$AJ:$AJ,'Bridge Asset'!$BU:$BU,'Bridge Summary'!$B19,'Bridge Asset'!$CR:$CR,'Bridge Summary'!E$5)</f>
        <v/>
      </c>
      <c r="F19" s="37">
        <f>SUMIFS('Bridge Asset'!$AJ:$AJ,'Bridge Asset'!$BU:$BU,'Bridge Summary'!$B19,'Bridge Asset'!$CR:$CR,'Bridge Summary'!F$5)</f>
        <v/>
      </c>
      <c r="G19" s="37">
        <f>SUMIFS('Bridge Asset'!$AJ:$AJ,'Bridge Asset'!$BU:$BU,'Bridge Summary'!$B19,'Bridge Asset'!$CR:$CR,'Bridge Summary'!G$5)</f>
        <v/>
      </c>
      <c r="H19" s="37">
        <f>SUMIFS('Bridge Asset'!$AJ:$AJ,'Bridge Asset'!$BU:$BU,'Bridge Summary'!$B19,'Bridge Asset'!$CR:$CR,'Bridge Summary'!H$5)</f>
        <v/>
      </c>
      <c r="I19" s="37">
        <f>SUMIFS('Bridge Asset'!$AJ:$AJ,'Bridge Asset'!$BU:$BU,'Bridge Summary'!$B19,'Bridge Asset'!$CR:$CR,'Bridge Summary'!I$5)</f>
        <v/>
      </c>
      <c r="J19" s="37">
        <f>SUMIFS('Bridge Asset'!$AJ:$AJ,'Bridge Asset'!$BU:$BU,'Bridge Summary'!$B19,'Bridge Asset'!$CR:$CR,'Bridge Summary'!J$5)</f>
        <v/>
      </c>
      <c r="K19" s="43">
        <f>SUM($E19:$J19)</f>
        <v/>
      </c>
      <c r="L19" s="37">
        <f>+$K19-$J19</f>
        <v/>
      </c>
      <c r="N19" s="12">
        <f>IFERROR(SUM($G19:$I19)/$L19,"N/A")</f>
        <v/>
      </c>
      <c r="O19" s="12">
        <f>IFERROR(SUM($H19:$I19)/$L19,"N/A")</f>
        <v/>
      </c>
      <c r="P19" s="12">
        <f>IFERROR($I19/$L19,"N/A")</f>
        <v/>
      </c>
      <c r="Q19" s="12">
        <f>IFERROR($J19/$K19,"N/A")</f>
        <v/>
      </c>
    </row>
    <row r="20" ht="15" customHeight="1">
      <c r="B20" s="45" t="inlineStr">
        <is>
          <t>Total Bridge</t>
        </is>
      </c>
      <c r="C20" s="46">
        <f>+C$6+C$7+C$15+C$16+C$17+C$18+C$19</f>
        <v/>
      </c>
      <c r="D20" s="46">
        <f>+D$6+D$7+D$15+D$16+D$17+D$18+D$19</f>
        <v/>
      </c>
      <c r="E20" s="46">
        <f>+E$6+E$7+E$15+E$16+E$17+E$18+E$19</f>
        <v/>
      </c>
      <c r="F20" s="46">
        <f>+F$6+F$7+F$15+F$16+F$17+F$18+F$19</f>
        <v/>
      </c>
      <c r="G20" s="46">
        <f>+G$6+G$7+G$15+G$16+G$17+G$18+G$19</f>
        <v/>
      </c>
      <c r="H20" s="46">
        <f>+H$6+H$7+H$15+H$16+H$17+H$18+H$19</f>
        <v/>
      </c>
      <c r="I20" s="46">
        <f>+I$6+I$7+I$15+I$16+I$17+I$18+I$19</f>
        <v/>
      </c>
      <c r="J20" s="46">
        <f>+J$6+J$7+J$15+J$16+J$17+J$18+J$19</f>
        <v/>
      </c>
      <c r="K20" s="47">
        <f>+K$6+K$7+K$15+K$16+K$17+K$18+K$19</f>
        <v/>
      </c>
      <c r="L20" s="48">
        <f>+L$6+L$7+L$15+L$16+L$17+L$18+L$19</f>
        <v/>
      </c>
      <c r="N20" s="13">
        <f>IFERROR(SUM($G20:$I20)/$L20,"N/A")</f>
        <v/>
      </c>
      <c r="O20" s="14">
        <f>IFERROR(SUM($H20:$I20)/$L20,"N/A")</f>
        <v/>
      </c>
      <c r="P20" s="14">
        <f>IFERROR($I20/$L20,"N/A")</f>
        <v/>
      </c>
      <c r="Q20" s="15">
        <f>IFERROR($J20/$K20,"N/A")</f>
        <v/>
      </c>
    </row>
    <row r="21" ht="15" customHeight="1">
      <c r="B21" s="45" t="inlineStr">
        <is>
          <t>Total Bridge (Ex. Sold)</t>
        </is>
      </c>
      <c r="C21" s="46">
        <f>+C$20-C$19</f>
        <v/>
      </c>
      <c r="D21" s="46">
        <f>+D$20-D$19</f>
        <v/>
      </c>
      <c r="E21" s="46">
        <f>+E$20-E$19</f>
        <v/>
      </c>
      <c r="F21" s="46">
        <f>+F$20-F$19</f>
        <v/>
      </c>
      <c r="G21" s="46">
        <f>+G$20-G$19</f>
        <v/>
      </c>
      <c r="H21" s="46">
        <f>+H$20-H$19</f>
        <v/>
      </c>
      <c r="I21" s="46">
        <f>+I$20-I$19</f>
        <v/>
      </c>
      <c r="J21" s="46">
        <f>+J$20-J$19</f>
        <v/>
      </c>
      <c r="K21" s="47">
        <f>+K$20-K$19</f>
        <v/>
      </c>
      <c r="L21" s="48">
        <f>+L$20-L$19</f>
        <v/>
      </c>
      <c r="N21" s="56">
        <f>IFERROR(SUM($G21:$I21)/$L21,"N/A")</f>
        <v/>
      </c>
      <c r="O21" s="17">
        <f>IFERROR(SUM($H21:$I21)/$L21,"N/A")</f>
        <v/>
      </c>
      <c r="P21" s="17">
        <f>IFERROR($I21/$L21,"N/A")</f>
        <v/>
      </c>
      <c r="Q21" s="57">
        <f>IFERROR($J21/$K21,"N/A")</f>
        <v/>
      </c>
    </row>
    <row r="23">
      <c r="B23" s="51" t="inlineStr">
        <is>
          <t>Legacy Bridge</t>
        </is>
      </c>
      <c r="C23" s="20">
        <f>+C$6</f>
        <v/>
      </c>
      <c r="D23" s="20">
        <f>+D$6</f>
        <v/>
      </c>
      <c r="E23" s="20">
        <f>+E$6</f>
        <v/>
      </c>
      <c r="F23" s="20">
        <f>+F$6</f>
        <v/>
      </c>
      <c r="G23" s="20">
        <f>+G$6</f>
        <v/>
      </c>
      <c r="H23" s="20">
        <f>+H$6</f>
        <v/>
      </c>
      <c r="I23" s="20">
        <f>+I$6</f>
        <v/>
      </c>
      <c r="J23" s="20">
        <f>+J$6</f>
        <v/>
      </c>
      <c r="K23" s="19">
        <f>SUM($E23:$J23)</f>
        <v/>
      </c>
      <c r="L23" s="20">
        <f>+$K23-$J23</f>
        <v/>
      </c>
      <c r="N23" s="16">
        <f>IFERROR(SUM($G23:$I23)/$L23,"N/A")</f>
        <v/>
      </c>
      <c r="O23" s="16">
        <f>IFERROR(SUM($H23:$I23)/$L23,"N/A")</f>
        <v/>
      </c>
      <c r="P23" s="16">
        <f>IFERROR($I23/$L23,"N/A")</f>
        <v/>
      </c>
      <c r="Q23" s="16">
        <f>IFERROR($J23/$K23,"N/A")</f>
        <v/>
      </c>
    </row>
    <row r="24">
      <c r="B24" s="38" t="inlineStr">
        <is>
          <t>Non-Legacy Bridge</t>
        </is>
      </c>
      <c r="C24" s="37">
        <f>+C$7+C$15</f>
        <v/>
      </c>
      <c r="D24" s="37">
        <f>+D$7+D$15</f>
        <v/>
      </c>
      <c r="E24" s="37">
        <f>+E$7+E$15</f>
        <v/>
      </c>
      <c r="F24" s="37">
        <f>+F$7+F$15</f>
        <v/>
      </c>
      <c r="G24" s="37">
        <f>+G$7+G$15</f>
        <v/>
      </c>
      <c r="H24" s="37">
        <f>+H$7+H$15</f>
        <v/>
      </c>
      <c r="I24" s="37">
        <f>+I$7+I$15</f>
        <v/>
      </c>
      <c r="J24" s="37">
        <f>+J$7+J$15</f>
        <v/>
      </c>
      <c r="K24" s="43">
        <f>SUM($E24:$J24)</f>
        <v/>
      </c>
      <c r="L24" s="37">
        <f>+$K24-$J24</f>
        <v/>
      </c>
      <c r="N24" s="12">
        <f>IFERROR(SUM($G24:$I24)/$L24,"N/A")</f>
        <v/>
      </c>
      <c r="O24" s="12">
        <f>IFERROR(SUM($H24:$I24)/$L24,"N/A")</f>
        <v/>
      </c>
      <c r="P24" s="12">
        <f>IFERROR($I24/$L24,"N/A")</f>
        <v/>
      </c>
      <c r="Q24" s="12">
        <f>IFERROR($J24/$K24,"N/A")</f>
        <v/>
      </c>
    </row>
    <row r="25">
      <c r="B25" s="45" t="inlineStr">
        <is>
          <t>Balance Sheet Bridge</t>
        </is>
      </c>
      <c r="C25" s="46">
        <f>SUM(C$23:C$24)</f>
        <v/>
      </c>
      <c r="D25" s="46">
        <f>SUM(D$23:D$24)</f>
        <v/>
      </c>
      <c r="E25" s="46">
        <f>SUM(E$23:E$24)</f>
        <v/>
      </c>
      <c r="F25" s="46">
        <f>SUM(F$23:F$24)</f>
        <v/>
      </c>
      <c r="G25" s="46">
        <f>SUM(G$23:G$24)</f>
        <v/>
      </c>
      <c r="H25" s="46">
        <f>SUM(H$23:H$24)</f>
        <v/>
      </c>
      <c r="I25" s="46">
        <f>SUM(I$23:I$24)</f>
        <v/>
      </c>
      <c r="J25" s="46">
        <f>SUM(J$23:J$24)</f>
        <v/>
      </c>
      <c r="K25" s="47">
        <f>SUM($E25:$J25)</f>
        <v/>
      </c>
      <c r="L25" s="48">
        <f>+$K25-$J25</f>
        <v/>
      </c>
      <c r="N25" s="13">
        <f>IFERROR(SUM($G25:$I25)/$L25,"N/A")</f>
        <v/>
      </c>
      <c r="O25" s="14">
        <f>IFERROR(SUM($H25:$I25)/$L25,"N/A")</f>
        <v/>
      </c>
      <c r="P25" s="14">
        <f>IFERROR($I25/$L25,"N/A")</f>
        <v/>
      </c>
      <c r="Q25" s="15">
        <f>IFERROR($J25/$K25,"N/A")</f>
        <v/>
      </c>
    </row>
    <row r="28">
      <c r="B28" s="38" t="inlineStr">
        <is>
          <t>Summary by Strategy:</t>
        </is>
      </c>
    </row>
    <row r="29" ht="22.5" customHeight="1">
      <c r="B29" s="41" t="n"/>
      <c r="C29" s="41">
        <f>+C$5</f>
        <v/>
      </c>
      <c r="D29" s="41">
        <f>+D$5</f>
        <v/>
      </c>
      <c r="E29" s="41">
        <f>+E$5</f>
        <v/>
      </c>
      <c r="F29" s="41">
        <f>+F$5</f>
        <v/>
      </c>
      <c r="G29" s="41">
        <f>+G$5</f>
        <v/>
      </c>
      <c r="H29" s="41">
        <f>+H$5</f>
        <v/>
      </c>
      <c r="I29" s="41">
        <f>+I$5</f>
        <v/>
      </c>
      <c r="J29" s="41">
        <f>+J$5</f>
        <v/>
      </c>
      <c r="K29" s="42">
        <f>+K$5</f>
        <v/>
      </c>
      <c r="L29" s="41">
        <f>+L$5</f>
        <v/>
      </c>
      <c r="N29" s="41">
        <f>+N$5</f>
        <v/>
      </c>
      <c r="O29" s="41">
        <f>+O$5</f>
        <v/>
      </c>
      <c r="P29" s="41">
        <f>+P$5</f>
        <v/>
      </c>
      <c r="Q29" s="41">
        <f>+Q$5</f>
        <v/>
      </c>
    </row>
    <row r="30">
      <c r="B30" s="38" t="inlineStr">
        <is>
          <t>Renovate / Build to Rent</t>
        </is>
      </c>
      <c r="C30" s="37">
        <f>COUNTIFS('Bridge Loan'!$AS:$AS,'Bridge Summary'!$B30)</f>
        <v/>
      </c>
      <c r="D30" s="37">
        <f>COUNTIFS('Bridge Asset'!$BZ:$BZ,'Bridge Summary'!$B30)</f>
        <v/>
      </c>
      <c r="E30" s="37">
        <f>SUMIFS('Bridge Asset'!$AJ:$AJ,'Bridge Asset'!$BZ:$BZ,'Bridge Summary'!$B30,'Bridge Asset'!$CR:$CR,'Bridge Summary'!E$29)</f>
        <v/>
      </c>
      <c r="F30" s="37">
        <f>SUMIFS('Bridge Asset'!$AJ:$AJ,'Bridge Asset'!$BZ:$BZ,'Bridge Summary'!$B30,'Bridge Asset'!$CR:$CR,'Bridge Summary'!F$29)</f>
        <v/>
      </c>
      <c r="G30" s="37">
        <f>SUMIFS('Bridge Asset'!$AJ:$AJ,'Bridge Asset'!$BZ:$BZ,'Bridge Summary'!$B30,'Bridge Asset'!$CR:$CR,'Bridge Summary'!G$29)</f>
        <v/>
      </c>
      <c r="H30" s="37">
        <f>SUMIFS('Bridge Asset'!$AJ:$AJ,'Bridge Asset'!$BZ:$BZ,'Bridge Summary'!$B30,'Bridge Asset'!$CR:$CR,'Bridge Summary'!H$29)</f>
        <v/>
      </c>
      <c r="I30" s="37">
        <f>SUMIFS('Bridge Asset'!$AJ:$AJ,'Bridge Asset'!$BZ:$BZ,'Bridge Summary'!$B30,'Bridge Asset'!$CR:$CR,'Bridge Summary'!I$29)</f>
        <v/>
      </c>
      <c r="J30" s="37">
        <f>SUMIFS('Bridge Asset'!$AJ:$AJ,'Bridge Asset'!$BZ:$BZ,'Bridge Summary'!$B30,'Bridge Asset'!$CR:$CR,'Bridge Summary'!J$29)</f>
        <v/>
      </c>
      <c r="K30" s="43">
        <f>SUM($E30:$J30)</f>
        <v/>
      </c>
      <c r="L30" s="37">
        <f>+$K30-$J30</f>
        <v/>
      </c>
      <c r="N30" s="12">
        <f>IFERROR(SUM($G30:$I30)/$L30,"N/A")</f>
        <v/>
      </c>
      <c r="O30" s="12">
        <f>IFERROR(SUM($H30:$I30)/$L30,"N/A")</f>
        <v/>
      </c>
      <c r="P30" s="12">
        <f>IFERROR($I30/$L30,"N/A")</f>
        <v/>
      </c>
      <c r="Q30" s="12">
        <f>IFERROR($J30/$K30,"N/A")</f>
        <v/>
      </c>
    </row>
    <row r="31">
      <c r="B31" s="38" t="inlineStr">
        <is>
          <t>Single Asset Bridge</t>
        </is>
      </c>
      <c r="C31" s="37">
        <f>COUNTIFS('Bridge Loan'!$AS:$AS,'Bridge Summary'!$B31)</f>
        <v/>
      </c>
      <c r="D31" s="37">
        <f>COUNTIFS('Bridge Asset'!$BZ:$BZ,'Bridge Summary'!$B31)</f>
        <v/>
      </c>
      <c r="E31" s="37">
        <f>SUMIFS('Bridge Asset'!$AJ:$AJ,'Bridge Asset'!$BZ:$BZ,'Bridge Summary'!$B31,'Bridge Asset'!$CR:$CR,'Bridge Summary'!E$29)</f>
        <v/>
      </c>
      <c r="F31" s="37">
        <f>SUMIFS('Bridge Asset'!$AJ:$AJ,'Bridge Asset'!$BZ:$BZ,'Bridge Summary'!$B31,'Bridge Asset'!$CR:$CR,'Bridge Summary'!F$29)</f>
        <v/>
      </c>
      <c r="G31" s="37">
        <f>SUMIFS('Bridge Asset'!$AJ:$AJ,'Bridge Asset'!$BZ:$BZ,'Bridge Summary'!$B31,'Bridge Asset'!$CR:$CR,'Bridge Summary'!G$29)</f>
        <v/>
      </c>
      <c r="H31" s="37">
        <f>SUMIFS('Bridge Asset'!$AJ:$AJ,'Bridge Asset'!$BZ:$BZ,'Bridge Summary'!$B31,'Bridge Asset'!$CR:$CR,'Bridge Summary'!H$29)</f>
        <v/>
      </c>
      <c r="I31" s="37">
        <f>SUMIFS('Bridge Asset'!$AJ:$AJ,'Bridge Asset'!$BZ:$BZ,'Bridge Summary'!$B31,'Bridge Asset'!$CR:$CR,'Bridge Summary'!I$29)</f>
        <v/>
      </c>
      <c r="J31" s="37">
        <f>SUMIFS('Bridge Asset'!$AJ:$AJ,'Bridge Asset'!$BZ:$BZ,'Bridge Summary'!$B31,'Bridge Asset'!$CR:$CR,'Bridge Summary'!J$29)</f>
        <v/>
      </c>
      <c r="K31" s="43">
        <f>SUM($E31:$J31)</f>
        <v/>
      </c>
      <c r="L31" s="37">
        <f>+$K31-$J31</f>
        <v/>
      </c>
      <c r="N31" s="12">
        <f>IFERROR(SUM($G31:$I31)/$L31,"N/A")</f>
        <v/>
      </c>
      <c r="O31" s="12">
        <f>IFERROR(SUM($H31:$I31)/$L31,"N/A")</f>
        <v/>
      </c>
      <c r="P31" s="12">
        <f>IFERROR($I31/$L31,"N/A")</f>
        <v/>
      </c>
      <c r="Q31" s="12">
        <f>IFERROR($J31/$K31,"N/A")</f>
        <v/>
      </c>
    </row>
    <row r="32">
      <c r="B32" s="38" t="inlineStr">
        <is>
          <t>Multifamily</t>
        </is>
      </c>
      <c r="C32" s="37">
        <f>COUNTIFS('Bridge Loan'!$AS:$AS,'Bridge Summary'!$B32)</f>
        <v/>
      </c>
      <c r="D32" s="37">
        <f>COUNTIFS('Bridge Asset'!$BZ:$BZ,'Bridge Summary'!$B32)</f>
        <v/>
      </c>
      <c r="E32" s="37">
        <f>SUMIFS('Bridge Asset'!$AJ:$AJ,'Bridge Asset'!$BZ:$BZ,'Bridge Summary'!$B32,'Bridge Asset'!$CR:$CR,'Bridge Summary'!E$29)</f>
        <v/>
      </c>
      <c r="F32" s="37">
        <f>SUMIFS('Bridge Asset'!$AJ:$AJ,'Bridge Asset'!$BZ:$BZ,'Bridge Summary'!$B32,'Bridge Asset'!$CR:$CR,'Bridge Summary'!F$29)</f>
        <v/>
      </c>
      <c r="G32" s="37">
        <f>SUMIFS('Bridge Asset'!$AJ:$AJ,'Bridge Asset'!$BZ:$BZ,'Bridge Summary'!$B32,'Bridge Asset'!$CR:$CR,'Bridge Summary'!G$29)</f>
        <v/>
      </c>
      <c r="H32" s="37">
        <f>SUMIFS('Bridge Asset'!$AJ:$AJ,'Bridge Asset'!$BZ:$BZ,'Bridge Summary'!$B32,'Bridge Asset'!$CR:$CR,'Bridge Summary'!H$29)</f>
        <v/>
      </c>
      <c r="I32" s="37">
        <f>SUMIFS('Bridge Asset'!$AJ:$AJ,'Bridge Asset'!$BZ:$BZ,'Bridge Summary'!$B32,'Bridge Asset'!$CR:$CR,'Bridge Summary'!I$29)</f>
        <v/>
      </c>
      <c r="J32" s="37">
        <f>SUMIFS('Bridge Asset'!$AJ:$AJ,'Bridge Asset'!$BZ:$BZ,'Bridge Summary'!$B32,'Bridge Asset'!$CR:$CR,'Bridge Summary'!J$29)</f>
        <v/>
      </c>
      <c r="K32" s="43">
        <f>SUM($E32:$J32)</f>
        <v/>
      </c>
      <c r="L32" s="37">
        <f>+$K32-$J32</f>
        <v/>
      </c>
      <c r="N32" s="12">
        <f>IFERROR(SUM($G32:$I32)/$L32,"N/A")</f>
        <v/>
      </c>
      <c r="O32" s="12">
        <f>IFERROR(SUM($H32:$I32)/$L32,"N/A")</f>
        <v/>
      </c>
      <c r="P32" s="12">
        <f>IFERROR($I32/$L32,"N/A")</f>
        <v/>
      </c>
      <c r="Q32" s="12">
        <f>IFERROR($J32/$K32,"N/A")</f>
        <v/>
      </c>
    </row>
    <row r="33">
      <c r="B33" s="38" t="inlineStr">
        <is>
          <t>Other</t>
        </is>
      </c>
      <c r="C33" s="37">
        <f>COUNTIFS('Bridge Loan'!$AS:$AS,'Bridge Summary'!$B33)</f>
        <v/>
      </c>
      <c r="D33" s="37">
        <f>COUNTIFS('Bridge Asset'!$BZ:$BZ,'Bridge Summary'!$B33)</f>
        <v/>
      </c>
      <c r="E33" s="37">
        <f>SUMIFS('Bridge Asset'!$AJ:$AJ,'Bridge Asset'!$BZ:$BZ,'Bridge Summary'!$B33,'Bridge Asset'!$CR:$CR,'Bridge Summary'!E$29)</f>
        <v/>
      </c>
      <c r="F33" s="37">
        <f>SUMIFS('Bridge Asset'!$AJ:$AJ,'Bridge Asset'!$BZ:$BZ,'Bridge Summary'!$B33,'Bridge Asset'!$CR:$CR,'Bridge Summary'!F$29)</f>
        <v/>
      </c>
      <c r="G33" s="37">
        <f>SUMIFS('Bridge Asset'!$AJ:$AJ,'Bridge Asset'!$BZ:$BZ,'Bridge Summary'!$B33,'Bridge Asset'!$CR:$CR,'Bridge Summary'!G$29)</f>
        <v/>
      </c>
      <c r="H33" s="37">
        <f>SUMIFS('Bridge Asset'!$AJ:$AJ,'Bridge Asset'!$BZ:$BZ,'Bridge Summary'!$B33,'Bridge Asset'!$CR:$CR,'Bridge Summary'!H$29)</f>
        <v/>
      </c>
      <c r="I33" s="37">
        <f>SUMIFS('Bridge Asset'!$AJ:$AJ,'Bridge Asset'!$BZ:$BZ,'Bridge Summary'!$B33,'Bridge Asset'!$CR:$CR,'Bridge Summary'!I$29)</f>
        <v/>
      </c>
      <c r="J33" s="37">
        <f>SUMIFS('Bridge Asset'!$AJ:$AJ,'Bridge Asset'!$BZ:$BZ,'Bridge Summary'!$B33,'Bridge Asset'!$CR:$CR,'Bridge Summary'!J$29)</f>
        <v/>
      </c>
      <c r="K33" s="43">
        <f>SUM($E33:$J33)</f>
        <v/>
      </c>
      <c r="L33" s="37">
        <f>+$K33-$J33</f>
        <v/>
      </c>
      <c r="N33" s="12">
        <f>IFERROR(SUM($G33:$I33)/$L33,"N/A")</f>
        <v/>
      </c>
      <c r="O33" s="12">
        <f>IFERROR(SUM($H33:$I33)/$L33,"N/A")</f>
        <v/>
      </c>
      <c r="P33" s="12">
        <f>IFERROR($I33/$L33,"N/A")</f>
        <v/>
      </c>
      <c r="Q33" s="12">
        <f>IFERROR($J33/$K33,"N/A")</f>
        <v/>
      </c>
    </row>
    <row r="34">
      <c r="B34" s="38" t="inlineStr">
        <is>
          <t>Sold</t>
        </is>
      </c>
      <c r="C34" s="37">
        <f>COUNTIFS('Bridge Loan'!$AS:$AS,'Bridge Summary'!$B34)</f>
        <v/>
      </c>
      <c r="D34" s="37">
        <f>COUNTIFS('Bridge Asset'!$BZ:$BZ,'Bridge Summary'!$B34)</f>
        <v/>
      </c>
      <c r="E34" s="37">
        <f>SUMIFS('Bridge Asset'!$AJ:$AJ,'Bridge Asset'!$BZ:$BZ,'Bridge Summary'!$B34,'Bridge Asset'!$CR:$CR,'Bridge Summary'!E$29)</f>
        <v/>
      </c>
      <c r="F34" s="37">
        <f>SUMIFS('Bridge Asset'!$AJ:$AJ,'Bridge Asset'!$BZ:$BZ,'Bridge Summary'!$B34,'Bridge Asset'!$CR:$CR,'Bridge Summary'!F$29)</f>
        <v/>
      </c>
      <c r="G34" s="37">
        <f>SUMIFS('Bridge Asset'!$AJ:$AJ,'Bridge Asset'!$BZ:$BZ,'Bridge Summary'!$B34,'Bridge Asset'!$CR:$CR,'Bridge Summary'!G$29)</f>
        <v/>
      </c>
      <c r="H34" s="37">
        <f>SUMIFS('Bridge Asset'!$AJ:$AJ,'Bridge Asset'!$BZ:$BZ,'Bridge Summary'!$B34,'Bridge Asset'!$CR:$CR,'Bridge Summary'!H$29)</f>
        <v/>
      </c>
      <c r="I34" s="37">
        <f>SUMIFS('Bridge Asset'!$AJ:$AJ,'Bridge Asset'!$BZ:$BZ,'Bridge Summary'!$B34,'Bridge Asset'!$CR:$CR,'Bridge Summary'!I$29)</f>
        <v/>
      </c>
      <c r="J34" s="37">
        <f>SUMIFS('Bridge Asset'!$AJ:$AJ,'Bridge Asset'!$BZ:$BZ,'Bridge Summary'!$B34,'Bridge Asset'!$CR:$CR,'Bridge Summary'!J$29)</f>
        <v/>
      </c>
      <c r="K34" s="43">
        <f>SUM($E34:$J34)</f>
        <v/>
      </c>
      <c r="L34" s="37">
        <f>+$K34-$J34</f>
        <v/>
      </c>
      <c r="N34" s="12">
        <f>IFERROR(SUM($G34:$I34)/$L34,"N/A")</f>
        <v/>
      </c>
      <c r="O34" s="12">
        <f>IFERROR(SUM($H34:$I34)/$L34,"N/A")</f>
        <v/>
      </c>
      <c r="P34" s="12">
        <f>IFERROR($I34/$L34,"N/A")</f>
        <v/>
      </c>
      <c r="Q34" s="12">
        <f>IFERROR($J34/$K34,"N/A")</f>
        <v/>
      </c>
    </row>
    <row r="35">
      <c r="B35" s="45" t="inlineStr">
        <is>
          <t>Total Bridge</t>
        </is>
      </c>
      <c r="C35" s="46">
        <f>SUM(C$30:C$34)</f>
        <v/>
      </c>
      <c r="D35" s="46">
        <f>SUM(D$30:D$34)</f>
        <v/>
      </c>
      <c r="E35" s="46">
        <f>SUM(E$30:E$34)</f>
        <v/>
      </c>
      <c r="F35" s="46">
        <f>SUM(F$30:F$34)</f>
        <v/>
      </c>
      <c r="G35" s="46">
        <f>SUM(G$30:G$34)</f>
        <v/>
      </c>
      <c r="H35" s="46">
        <f>SUM(H$30:H$34)</f>
        <v/>
      </c>
      <c r="I35" s="46">
        <f>SUM(I$30:I$34)</f>
        <v/>
      </c>
      <c r="J35" s="46">
        <f>SUM(J$30:J$34)</f>
        <v/>
      </c>
      <c r="K35" s="47">
        <f>SUM($E35:$J35)</f>
        <v/>
      </c>
      <c r="L35" s="48">
        <f>+$K35-$J35</f>
        <v/>
      </c>
      <c r="N35" s="54">
        <f>IFERROR(SUM($G35:$I35)/$L35,"N/A")</f>
        <v/>
      </c>
      <c r="O35" s="16">
        <f>IFERROR(SUM($H35:$I35)/$L35,"N/A")</f>
        <v/>
      </c>
      <c r="P35" s="16">
        <f>IFERROR($I35/$L35,"N/A")</f>
        <v/>
      </c>
      <c r="Q35" s="55">
        <f>IFERROR($J35/$K35,"N/A")</f>
        <v/>
      </c>
    </row>
    <row r="36">
      <c r="B36" s="45" t="inlineStr">
        <is>
          <t>Total Bridge (Ex. Sold)</t>
        </is>
      </c>
      <c r="C36" s="46">
        <f>+C$35-C$34</f>
        <v/>
      </c>
      <c r="D36" s="46">
        <f>+D$35-D$34</f>
        <v/>
      </c>
      <c r="E36" s="46">
        <f>+E$35-E$34</f>
        <v/>
      </c>
      <c r="F36" s="46">
        <f>+F$35-F$34</f>
        <v/>
      </c>
      <c r="G36" s="46">
        <f>+G$35-G$34</f>
        <v/>
      </c>
      <c r="H36" s="46">
        <f>+H$35-H$34</f>
        <v/>
      </c>
      <c r="I36" s="46">
        <f>+I$35-I$34</f>
        <v/>
      </c>
      <c r="J36" s="46">
        <f>+J$35-J$34</f>
        <v/>
      </c>
      <c r="K36" s="47">
        <f>SUM($E36:$J36)</f>
        <v/>
      </c>
      <c r="L36" s="48">
        <f>+$K36-$J36</f>
        <v/>
      </c>
      <c r="N36" s="13">
        <f>IFERROR(SUM($G36:$I36)/$L36,"N/A")</f>
        <v/>
      </c>
      <c r="O36" s="14">
        <f>IFERROR(SUM($H36:$I36)/$L36,"N/A")</f>
        <v/>
      </c>
      <c r="P36" s="14">
        <f>IFERROR($I36/$L36,"N/A")</f>
        <v/>
      </c>
      <c r="Q36" s="15">
        <f>IFERROR($J36/$K36,"N/A")</f>
        <v/>
      </c>
    </row>
    <row r="39">
      <c r="B39" s="38" t="inlineStr">
        <is>
          <t xml:space="preserve">Summary by Product: </t>
        </is>
      </c>
    </row>
    <row r="40" ht="30" customHeight="1">
      <c r="B40" s="41" t="n"/>
      <c r="C40" s="41">
        <f>+C$29</f>
        <v/>
      </c>
      <c r="D40" s="41">
        <f>+D$29</f>
        <v/>
      </c>
      <c r="E40" s="41">
        <f>+E$29</f>
        <v/>
      </c>
      <c r="F40" s="41">
        <f>+F$29</f>
        <v/>
      </c>
      <c r="G40" s="41">
        <f>+G$29</f>
        <v/>
      </c>
      <c r="H40" s="41">
        <f>+H$29</f>
        <v/>
      </c>
      <c r="I40" s="41">
        <f>+I$29</f>
        <v/>
      </c>
      <c r="J40" s="41">
        <f>+J$29</f>
        <v/>
      </c>
      <c r="K40" s="42">
        <f>+K$29</f>
        <v/>
      </c>
      <c r="L40" s="41">
        <f>+L$29</f>
        <v/>
      </c>
      <c r="N40" s="41">
        <f>+N$29</f>
        <v/>
      </c>
      <c r="O40" s="41">
        <f>+O$29</f>
        <v/>
      </c>
      <c r="P40" s="41">
        <f>+P$29</f>
        <v/>
      </c>
      <c r="Q40" s="41">
        <f>+Q$29</f>
        <v/>
      </c>
    </row>
    <row r="41" ht="15" customHeight="1">
      <c r="B41" s="38" t="inlineStr">
        <is>
          <t>Single Asset Bridge</t>
        </is>
      </c>
      <c r="C41" s="37">
        <f>COUNTIFS('Bridge Loan'!$AN:$AN,'Bridge Summary'!$B41)</f>
        <v/>
      </c>
      <c r="D41" s="37">
        <f>COUNTIFS('Bridge Asset'!$CL:$CL,'Bridge Summary'!$B41)</f>
        <v/>
      </c>
      <c r="E41" s="37">
        <f>SUMIFS('Bridge Asset'!$AJ:$AJ,'Bridge Asset'!$CL:$CL,'Bridge Summary'!$B41,'Bridge Asset'!$CR:$CR,'Bridge Summary'!E$40)</f>
        <v/>
      </c>
      <c r="F41" s="37">
        <f>SUMIFS('Bridge Asset'!$AJ:$AJ,'Bridge Asset'!$CL:$CL,'Bridge Summary'!$B41,'Bridge Asset'!$CR:$CR,'Bridge Summary'!F$40)</f>
        <v/>
      </c>
      <c r="G41" s="37">
        <f>SUMIFS('Bridge Asset'!$AJ:$AJ,'Bridge Asset'!$CL:$CL,'Bridge Summary'!$B41,'Bridge Asset'!$CR:$CR,'Bridge Summary'!G$40)</f>
        <v/>
      </c>
      <c r="H41" s="37">
        <f>SUMIFS('Bridge Asset'!$AJ:$AJ,'Bridge Asset'!$CL:$CL,'Bridge Summary'!$B41,'Bridge Asset'!$CR:$CR,'Bridge Summary'!H$40)</f>
        <v/>
      </c>
      <c r="I41" s="37">
        <f>SUMIFS('Bridge Asset'!$AJ:$AJ,'Bridge Asset'!$CL:$CL,'Bridge Summary'!$B41,'Bridge Asset'!$CR:$CR,'Bridge Summary'!I$40)</f>
        <v/>
      </c>
      <c r="J41" s="37">
        <f>SUMIFS('Bridge Asset'!$AJ:$AJ,'Bridge Asset'!$CL:$CL,'Bridge Summary'!$B41,'Bridge Asset'!$CR:$CR,'Bridge Summary'!J$40)</f>
        <v/>
      </c>
      <c r="K41" s="43">
        <f>SUM($E41:$J41)</f>
        <v/>
      </c>
      <c r="L41" s="37">
        <f>+$K41-$J41</f>
        <v/>
      </c>
      <c r="N41" s="12">
        <f>IFERROR(SUM($G41:$I41)/$L41,"N/A")</f>
        <v/>
      </c>
      <c r="O41" s="12">
        <f>IFERROR(SUM($H41:$I41)/$L41,"N/A")</f>
        <v/>
      </c>
      <c r="P41" s="12">
        <f>IFERROR($I41/$L41,"N/A")</f>
        <v/>
      </c>
      <c r="Q41" s="12">
        <f>IFERROR($J41/$K41,"N/A")</f>
        <v/>
      </c>
    </row>
    <row r="42" outlineLevel="1" ht="15" customHeight="1">
      <c r="B42" s="40" t="inlineStr">
        <is>
          <t>Single Asset Bridge (Ex. Sold)</t>
        </is>
      </c>
      <c r="C42" s="37">
        <f>+C$41-C$34</f>
        <v/>
      </c>
      <c r="D42" s="37">
        <f>+D$41-D$34</f>
        <v/>
      </c>
      <c r="E42" s="37">
        <f>+E$41-E$34</f>
        <v/>
      </c>
      <c r="F42" s="37">
        <f>+F$41-F$34</f>
        <v/>
      </c>
      <c r="G42" s="37">
        <f>+G$41-G$34</f>
        <v/>
      </c>
      <c r="H42" s="37">
        <f>+H$41-H$34</f>
        <v/>
      </c>
      <c r="I42" s="37">
        <f>+I$41-I$34</f>
        <v/>
      </c>
      <c r="J42" s="37">
        <f>+J$41-J$34</f>
        <v/>
      </c>
      <c r="K42" s="43">
        <f>+K$41-K$34</f>
        <v/>
      </c>
      <c r="L42" s="37">
        <f>+L$41-L$34</f>
        <v/>
      </c>
      <c r="N42" s="12">
        <f>IFERROR(SUM($G42:$I42)/$L42,"N/A")</f>
        <v/>
      </c>
      <c r="O42" s="12">
        <f>IFERROR(SUM($H42:$I42)/$L42,"N/A")</f>
        <v/>
      </c>
      <c r="P42" s="12">
        <f>IFERROR($I42/$L42,"N/A")</f>
        <v/>
      </c>
      <c r="Q42" s="12">
        <f>IFERROR($J42/$K42,"N/A")</f>
        <v/>
      </c>
    </row>
    <row r="43">
      <c r="B43" s="38" t="inlineStr">
        <is>
          <t>Credit Line</t>
        </is>
      </c>
      <c r="C43" s="37">
        <f>COUNTIFS('Bridge Loan'!$AN:$AN,'Bridge Summary'!$B43)</f>
        <v/>
      </c>
      <c r="D43" s="37">
        <f>COUNTIFS('Bridge Asset'!$CL:$CL,'Bridge Summary'!$B43)</f>
        <v/>
      </c>
      <c r="E43" s="37">
        <f>SUMIFS('Bridge Asset'!$AJ:$AJ,'Bridge Asset'!$CL:$CL,'Bridge Summary'!$B43,'Bridge Asset'!$CR:$CR,'Bridge Summary'!E$40)</f>
        <v/>
      </c>
      <c r="F43" s="37">
        <f>SUMIFS('Bridge Asset'!$AJ:$AJ,'Bridge Asset'!$CL:$CL,'Bridge Summary'!$B43,'Bridge Asset'!$CR:$CR,'Bridge Summary'!F$40)</f>
        <v/>
      </c>
      <c r="G43" s="37">
        <f>SUMIFS('Bridge Asset'!$AJ:$AJ,'Bridge Asset'!$CL:$CL,'Bridge Summary'!$B43,'Bridge Asset'!$CR:$CR,'Bridge Summary'!G$40)</f>
        <v/>
      </c>
      <c r="H43" s="37">
        <f>SUMIFS('Bridge Asset'!$AJ:$AJ,'Bridge Asset'!$CL:$CL,'Bridge Summary'!$B43,'Bridge Asset'!$CR:$CR,'Bridge Summary'!H$40)</f>
        <v/>
      </c>
      <c r="I43" s="37">
        <f>SUMIFS('Bridge Asset'!$AJ:$AJ,'Bridge Asset'!$CL:$CL,'Bridge Summary'!$B43,'Bridge Asset'!$CR:$CR,'Bridge Summary'!I$40)</f>
        <v/>
      </c>
      <c r="J43" s="37">
        <f>SUMIFS('Bridge Asset'!$AJ:$AJ,'Bridge Asset'!$CL:$CL,'Bridge Summary'!$B43,'Bridge Asset'!$CR:$CR,'Bridge Summary'!J$40)</f>
        <v/>
      </c>
      <c r="K43" s="43">
        <f>SUM($E43:$J43)</f>
        <v/>
      </c>
      <c r="L43" s="37">
        <f>+$K43-$J43</f>
        <v/>
      </c>
      <c r="N43" s="12">
        <f>IFERROR(SUM($G43:$I43)/$L43,"N/A")</f>
        <v/>
      </c>
      <c r="O43" s="12">
        <f>IFERROR(SUM($H43:$I43)/$L43,"N/A")</f>
        <v/>
      </c>
      <c r="P43" s="12">
        <f>IFERROR($I43/$L43,"N/A")</f>
        <v/>
      </c>
      <c r="Q43" s="12">
        <f>IFERROR($J43/$K43,"N/A")</f>
        <v/>
      </c>
    </row>
    <row r="44">
      <c r="B44" s="38" t="inlineStr">
        <is>
          <t>Multifamily/CRE</t>
        </is>
      </c>
      <c r="C44" s="37">
        <f>COUNTIFS('Bridge Loan'!$AN:$AN,'Bridge Summary'!$B44)</f>
        <v/>
      </c>
      <c r="D44" s="37">
        <f>COUNTIFS('Bridge Asset'!$CL:$CL,'Bridge Summary'!$B44)</f>
        <v/>
      </c>
      <c r="E44" s="37">
        <f>SUMIFS('Bridge Asset'!$AJ:$AJ,'Bridge Asset'!$CL:$CL,'Bridge Summary'!$B44,'Bridge Asset'!$CR:$CR,'Bridge Summary'!E$40)</f>
        <v/>
      </c>
      <c r="F44" s="37">
        <f>SUMIFS('Bridge Asset'!$AJ:$AJ,'Bridge Asset'!$CL:$CL,'Bridge Summary'!$B44,'Bridge Asset'!$CR:$CR,'Bridge Summary'!F$40)</f>
        <v/>
      </c>
      <c r="G44" s="37">
        <f>SUMIFS('Bridge Asset'!$AJ:$AJ,'Bridge Asset'!$CL:$CL,'Bridge Summary'!$B44,'Bridge Asset'!$CR:$CR,'Bridge Summary'!G$40)</f>
        <v/>
      </c>
      <c r="H44" s="37">
        <f>SUMIFS('Bridge Asset'!$AJ:$AJ,'Bridge Asset'!$CL:$CL,'Bridge Summary'!$B44,'Bridge Asset'!$CR:$CR,'Bridge Summary'!H$40)</f>
        <v/>
      </c>
      <c r="I44" s="37">
        <f>SUMIFS('Bridge Asset'!$AJ:$AJ,'Bridge Asset'!$CL:$CL,'Bridge Summary'!$B44,'Bridge Asset'!$CR:$CR,'Bridge Summary'!I$40)</f>
        <v/>
      </c>
      <c r="J44" s="37">
        <f>SUMIFS('Bridge Asset'!$AJ:$AJ,'Bridge Asset'!$CL:$CL,'Bridge Summary'!$B44,'Bridge Asset'!$CR:$CR,'Bridge Summary'!J$40)</f>
        <v/>
      </c>
      <c r="K44" s="43">
        <f>SUM($E44:$J44)</f>
        <v/>
      </c>
      <c r="L44" s="37">
        <f>+$K44-$J44</f>
        <v/>
      </c>
      <c r="N44" s="12">
        <f>IFERROR(SUM($G44:$I44)/$L44,"N/A")</f>
        <v/>
      </c>
      <c r="O44" s="12">
        <f>IFERROR(SUM($H44:$I44)/$L44,"N/A")</f>
        <v/>
      </c>
      <c r="P44" s="12">
        <f>IFERROR($I44/$L44,"N/A")</f>
        <v/>
      </c>
      <c r="Q44" s="12">
        <f>IFERROR($J44/$K44,"N/A")</f>
        <v/>
      </c>
    </row>
    <row r="45">
      <c r="B45" s="38" t="inlineStr">
        <is>
          <t>Build to Rent</t>
        </is>
      </c>
      <c r="C45" s="37">
        <f>COUNTIFS('Bridge Loan'!$AN:$AN,'Bridge Summary'!$B45)</f>
        <v/>
      </c>
      <c r="D45" s="37">
        <f>COUNTIFS('Bridge Asset'!$CL:$CL,'Bridge Summary'!$B45)</f>
        <v/>
      </c>
      <c r="E45" s="37">
        <f>SUMIFS('Bridge Asset'!$AJ:$AJ,'Bridge Asset'!$CL:$CL,'Bridge Summary'!$B45,'Bridge Asset'!$CR:$CR,'Bridge Summary'!E$40)</f>
        <v/>
      </c>
      <c r="F45" s="37">
        <f>SUMIFS('Bridge Asset'!$AJ:$AJ,'Bridge Asset'!$CL:$CL,'Bridge Summary'!$B45,'Bridge Asset'!$CR:$CR,'Bridge Summary'!F$40)</f>
        <v/>
      </c>
      <c r="G45" s="37">
        <f>SUMIFS('Bridge Asset'!$AJ:$AJ,'Bridge Asset'!$CL:$CL,'Bridge Summary'!$B45,'Bridge Asset'!$CR:$CR,'Bridge Summary'!G$40)</f>
        <v/>
      </c>
      <c r="H45" s="37">
        <f>SUMIFS('Bridge Asset'!$AJ:$AJ,'Bridge Asset'!$CL:$CL,'Bridge Summary'!$B45,'Bridge Asset'!$CR:$CR,'Bridge Summary'!H$40)</f>
        <v/>
      </c>
      <c r="I45" s="37">
        <f>SUMIFS('Bridge Asset'!$AJ:$AJ,'Bridge Asset'!$CL:$CL,'Bridge Summary'!$B45,'Bridge Asset'!$CR:$CR,'Bridge Summary'!I$40)</f>
        <v/>
      </c>
      <c r="J45" s="37">
        <f>SUMIFS('Bridge Asset'!$AJ:$AJ,'Bridge Asset'!$CL:$CL,'Bridge Summary'!$B45,'Bridge Asset'!$CR:$CR,'Bridge Summary'!J$40)</f>
        <v/>
      </c>
      <c r="K45" s="43">
        <f>SUM($E45:$J45)</f>
        <v/>
      </c>
      <c r="L45" s="37">
        <f>+$K45-$J45</f>
        <v/>
      </c>
      <c r="N45" s="12">
        <f>IFERROR(SUM($G45:$I45)/$L45,"N/A")</f>
        <v/>
      </c>
      <c r="O45" s="12">
        <f>IFERROR(SUM($H45:$I45)/$L45,"N/A")</f>
        <v/>
      </c>
      <c r="P45" s="12">
        <f>IFERROR($I45/$L45,"N/A")</f>
        <v/>
      </c>
      <c r="Q45" s="12">
        <f>IFERROR($J45/$K45,"N/A")</f>
        <v/>
      </c>
    </row>
    <row r="46">
      <c r="B46" s="38" t="inlineStr">
        <is>
          <t>5A Bridge</t>
        </is>
      </c>
      <c r="C46" s="37">
        <f>COUNTIFS('Bridge Loan'!$AN:$AN,'Bridge Summary'!$B46)</f>
        <v/>
      </c>
      <c r="D46" s="37">
        <f>COUNTIFS('Bridge Asset'!$CL:$CL,'Bridge Summary'!$B46)</f>
        <v/>
      </c>
      <c r="E46" s="37">
        <f>SUMIFS('Bridge Asset'!$AJ:$AJ,'Bridge Asset'!$CL:$CL,'Bridge Summary'!$B46,'Bridge Asset'!$CR:$CR,'Bridge Summary'!E$40)</f>
        <v/>
      </c>
      <c r="F46" s="37">
        <f>SUMIFS('Bridge Asset'!$AJ:$AJ,'Bridge Asset'!$CL:$CL,'Bridge Summary'!$B46,'Bridge Asset'!$CR:$CR,'Bridge Summary'!F$40)</f>
        <v/>
      </c>
      <c r="G46" s="37">
        <f>SUMIFS('Bridge Asset'!$AJ:$AJ,'Bridge Asset'!$CL:$CL,'Bridge Summary'!$B46,'Bridge Asset'!$CR:$CR,'Bridge Summary'!G$40)</f>
        <v/>
      </c>
      <c r="H46" s="37">
        <f>SUMIFS('Bridge Asset'!$AJ:$AJ,'Bridge Asset'!$CL:$CL,'Bridge Summary'!$B46,'Bridge Asset'!$CR:$CR,'Bridge Summary'!H$40)</f>
        <v/>
      </c>
      <c r="I46" s="37">
        <f>SUMIFS('Bridge Asset'!$AJ:$AJ,'Bridge Asset'!$CL:$CL,'Bridge Summary'!$B46,'Bridge Asset'!$CR:$CR,'Bridge Summary'!I$40)</f>
        <v/>
      </c>
      <c r="J46" s="37">
        <f>SUMIFS('Bridge Asset'!$AJ:$AJ,'Bridge Asset'!$CL:$CL,'Bridge Summary'!$B46,'Bridge Asset'!$CR:$CR,'Bridge Summary'!J$40)</f>
        <v/>
      </c>
      <c r="K46" s="43">
        <f>SUM($E46:$J46)</f>
        <v/>
      </c>
      <c r="L46" s="37">
        <f>+$K46-$J46</f>
        <v/>
      </c>
      <c r="N46" s="12">
        <f>IFERROR(SUM($G46:$I46)/$L46,"N/A")</f>
        <v/>
      </c>
      <c r="O46" s="12">
        <f>IFERROR(SUM($H46:$I46)/$L46,"N/A")</f>
        <v/>
      </c>
      <c r="P46" s="12">
        <f>IFERROR($I46/$L46,"N/A")</f>
        <v/>
      </c>
      <c r="Q46" s="12">
        <f>IFERROR($J46/$K46,"N/A")</f>
        <v/>
      </c>
    </row>
    <row r="47">
      <c r="B47" s="38" t="inlineStr">
        <is>
          <t>Purchased Bridge</t>
        </is>
      </c>
      <c r="C47" s="37">
        <f>COUNTIFS('Bridge Loan'!$AN:$AN,'Bridge Summary'!$B47)</f>
        <v/>
      </c>
      <c r="D47" s="37">
        <f>COUNTIFS('Bridge Asset'!$CL:$CL,'Bridge Summary'!$B47)</f>
        <v/>
      </c>
      <c r="E47" s="37">
        <f>SUMIFS('Bridge Asset'!$AJ:$AJ,'Bridge Asset'!$CL:$CL,'Bridge Summary'!$B47,'Bridge Asset'!$CR:$CR,'Bridge Summary'!E$40)</f>
        <v/>
      </c>
      <c r="F47" s="37">
        <f>SUMIFS('Bridge Asset'!$AJ:$AJ,'Bridge Asset'!$CL:$CL,'Bridge Summary'!$B47,'Bridge Asset'!$CR:$CR,'Bridge Summary'!F$40)</f>
        <v/>
      </c>
      <c r="G47" s="37">
        <f>SUMIFS('Bridge Asset'!$AJ:$AJ,'Bridge Asset'!$CL:$CL,'Bridge Summary'!$B47,'Bridge Asset'!$CR:$CR,'Bridge Summary'!G$40)</f>
        <v/>
      </c>
      <c r="H47" s="37">
        <f>SUMIFS('Bridge Asset'!$AJ:$AJ,'Bridge Asset'!$CL:$CL,'Bridge Summary'!$B47,'Bridge Asset'!$CR:$CR,'Bridge Summary'!H$40)</f>
        <v/>
      </c>
      <c r="I47" s="37">
        <f>SUMIFS('Bridge Asset'!$AJ:$AJ,'Bridge Asset'!$CL:$CL,'Bridge Summary'!$B47,'Bridge Asset'!$CR:$CR,'Bridge Summary'!I$40)</f>
        <v/>
      </c>
      <c r="J47" s="37">
        <f>SUMIFS('Bridge Asset'!$AJ:$AJ,'Bridge Asset'!$CL:$CL,'Bridge Summary'!$B47,'Bridge Asset'!$CR:$CR,'Bridge Summary'!J$40)</f>
        <v/>
      </c>
      <c r="K47" s="43">
        <f>SUM($E47:$J47)</f>
        <v/>
      </c>
      <c r="L47" s="37">
        <f>+$K47-$J47</f>
        <v/>
      </c>
      <c r="N47" s="12">
        <f>IFERROR(SUM($G47:$I47)/$L47,"N/A")</f>
        <v/>
      </c>
      <c r="O47" s="12">
        <f>IFERROR(SUM($H47:$I47)/$L47,"N/A")</f>
        <v/>
      </c>
      <c r="P47" s="12">
        <f>IFERROR($I47/$L47,"N/A")</f>
        <v/>
      </c>
      <c r="Q47" s="12">
        <f>IFERROR($J47/$K47,"N/A")</f>
        <v/>
      </c>
    </row>
    <row r="48">
      <c r="B48" s="45" t="inlineStr">
        <is>
          <t>Total Bridge</t>
        </is>
      </c>
      <c r="C48" s="46">
        <f>SUM(C$41:C$47)-C$42</f>
        <v/>
      </c>
      <c r="D48" s="46">
        <f>SUM(D$41:D$47)-D$42</f>
        <v/>
      </c>
      <c r="E48" s="46">
        <f>SUM(E$41:E$47)-E$42</f>
        <v/>
      </c>
      <c r="F48" s="46">
        <f>SUM(F$41:F$47)-F$42</f>
        <v/>
      </c>
      <c r="G48" s="46">
        <f>SUM(G$41:G$47)-G$42</f>
        <v/>
      </c>
      <c r="H48" s="46">
        <f>SUM(H$41:H$47)-H$42</f>
        <v/>
      </c>
      <c r="I48" s="46">
        <f>SUM(I$41:I$47)-I$42</f>
        <v/>
      </c>
      <c r="J48" s="46">
        <f>SUM(J$41:J$47)-J$42</f>
        <v/>
      </c>
      <c r="K48" s="47">
        <f>SUM(K$41:K$47)-K$42</f>
        <v/>
      </c>
      <c r="L48" s="48">
        <f>SUM(L$41:L$47)-L$42</f>
        <v/>
      </c>
      <c r="N48" s="54">
        <f>IFERROR(SUM($G48:$I48)/$L48,"N/A")</f>
        <v/>
      </c>
      <c r="O48" s="16">
        <f>IFERROR(SUM($H48:$I48)/$L48,"N/A")</f>
        <v/>
      </c>
      <c r="P48" s="16">
        <f>IFERROR($I48/$L48,"N/A")</f>
        <v/>
      </c>
      <c r="Q48" s="55">
        <f>IFERROR($J48/$K48,"N/A")</f>
        <v/>
      </c>
    </row>
    <row r="49">
      <c r="B49" s="45" t="inlineStr">
        <is>
          <t>Total Bridge (Ex. Sold)</t>
        </is>
      </c>
      <c r="C49" s="46">
        <f>+C$48-C$34</f>
        <v/>
      </c>
      <c r="D49" s="46">
        <f>+D$48-D$34</f>
        <v/>
      </c>
      <c r="E49" s="46">
        <f>+E$48-E$34</f>
        <v/>
      </c>
      <c r="F49" s="46">
        <f>+F$48-F$34</f>
        <v/>
      </c>
      <c r="G49" s="46">
        <f>+G$48-G$34</f>
        <v/>
      </c>
      <c r="H49" s="46">
        <f>+H$48-H$34</f>
        <v/>
      </c>
      <c r="I49" s="46">
        <f>+I$48-I$34</f>
        <v/>
      </c>
      <c r="J49" s="46">
        <f>+J$48-J$34</f>
        <v/>
      </c>
      <c r="K49" s="47">
        <f>+K$48-K$34</f>
        <v/>
      </c>
      <c r="L49" s="48">
        <f>+L$48-L$34</f>
        <v/>
      </c>
      <c r="N49" s="13">
        <f>IFERROR(SUM($G49:$I49)/$L49,"N/A")</f>
        <v/>
      </c>
      <c r="O49" s="14">
        <f>IFERROR(SUM($H49:$I49)/$L49,"N/A")</f>
        <v/>
      </c>
      <c r="P49" s="14">
        <f>IFERROR($I49/$L49,"N/A")</f>
        <v/>
      </c>
      <c r="Q49" s="15">
        <f>IFERROR($J49/$K49,"N/A")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2:Q35"/>
  <sheetViews>
    <sheetView showGridLines="0" zoomScale="85" zoomScaleNormal="85" workbookViewId="0">
      <selection activeCell="A1" sqref="A1"/>
    </sheetView>
  </sheetViews>
  <sheetFormatPr baseColWidth="8" defaultRowHeight="14.5" outlineLevelRow="1"/>
  <cols>
    <col width="21.54296875" customWidth="1" min="2" max="2"/>
    <col width="17.26953125" customWidth="1" min="3" max="12"/>
    <col width="11.7265625" customWidth="1" min="14" max="17"/>
  </cols>
  <sheetData>
    <row r="2" ht="23.5" customHeight="1">
      <c r="B2" s="58" t="inlineStr">
        <is>
          <t>Term Portfolio</t>
        </is>
      </c>
    </row>
    <row r="4">
      <c r="B4" s="38" t="inlineStr">
        <is>
          <t>Summary by Segment:</t>
        </is>
      </c>
    </row>
    <row r="5" ht="22.5" customHeight="1">
      <c r="B5" s="41" t="n"/>
      <c r="C5" s="41" t="inlineStr">
        <is>
          <t>Loan Count</t>
        </is>
      </c>
      <c r="D5" s="41" t="inlineStr">
        <is>
          <t>Asset Count</t>
        </is>
      </c>
      <c r="E5" s="41" t="inlineStr">
        <is>
          <t>Current</t>
        </is>
      </c>
      <c r="F5" s="41" t="inlineStr">
        <is>
          <t>DQ 1-29</t>
        </is>
      </c>
      <c r="G5" s="41" t="inlineStr">
        <is>
          <t>DQ 30-59</t>
        </is>
      </c>
      <c r="H5" s="41" t="inlineStr">
        <is>
          <t>DQ 60-89</t>
        </is>
      </c>
      <c r="I5" s="41" t="inlineStr">
        <is>
          <t>DQ 90+</t>
        </is>
      </c>
      <c r="J5" s="41" t="inlineStr">
        <is>
          <t>REO</t>
        </is>
      </c>
      <c r="K5" s="42" t="inlineStr">
        <is>
          <t>Total</t>
        </is>
      </c>
      <c r="L5" s="41" t="inlineStr">
        <is>
          <t>Total Ex. REO</t>
        </is>
      </c>
      <c r="N5" s="41" t="inlineStr">
        <is>
          <t>DQ 30+ %</t>
        </is>
      </c>
      <c r="O5" s="41" t="inlineStr">
        <is>
          <t>DQ 60+ %</t>
        </is>
      </c>
      <c r="P5" s="41" t="inlineStr">
        <is>
          <t>DQ 90+ %</t>
        </is>
      </c>
      <c r="Q5" s="41" t="inlineStr">
        <is>
          <t>REO %</t>
        </is>
      </c>
    </row>
    <row r="6" ht="15" customHeight="1" thickBot="1">
      <c r="B6" s="38" t="inlineStr">
        <is>
          <t>Legacy</t>
        </is>
      </c>
      <c r="C6" s="37">
        <f>COUNTIFS('Term Loan'!$K:$K,'Term Summary'!$B6)</f>
        <v/>
      </c>
      <c r="D6" s="37">
        <f>COUNTIFS('Term Asset'!$E:$E,'Term Summary'!$B6)</f>
        <v/>
      </c>
      <c r="E6" s="37">
        <f>SUMIFS('Term Loan'!$P:$P,'Term Loan'!$K:$K,'Term Summary'!$B6,'Term Loan'!$V:$V,'Term Summary'!E$5)</f>
        <v/>
      </c>
      <c r="F6" s="37">
        <f>SUMIFS('Term Loan'!$P:$P,'Term Loan'!$K:$K,'Term Summary'!$B6,'Term Loan'!$V:$V,'Term Summary'!F$5)</f>
        <v/>
      </c>
      <c r="G6" s="37">
        <f>SUMIFS('Term Loan'!$P:$P,'Term Loan'!$K:$K,'Term Summary'!$B6,'Term Loan'!$V:$V,'Term Summary'!G$5)</f>
        <v/>
      </c>
      <c r="H6" s="37">
        <f>SUMIFS('Term Loan'!$P:$P,'Term Loan'!$K:$K,'Term Summary'!$B6,'Term Loan'!$V:$V,'Term Summary'!H$5)</f>
        <v/>
      </c>
      <c r="I6" s="37">
        <f>SUMIFS('Term Loan'!$P:$P,'Term Loan'!$K:$K,'Term Summary'!$B6,'Term Loan'!$V:$V,'Term Summary'!I$5)</f>
        <v/>
      </c>
      <c r="J6" s="37">
        <f>SUMIFS('Term Loan'!$P:$P,'Term Loan'!$K:$K,'Term Summary'!$B6,'Term Loan'!$V:$V,'Term Summary'!J$5)</f>
        <v/>
      </c>
      <c r="K6" s="43">
        <f>SUM($E6:$J6)</f>
        <v/>
      </c>
      <c r="L6" s="37">
        <f>+$K6-$J6</f>
        <v/>
      </c>
      <c r="N6" s="12">
        <f>IFERROR(SUM($G6:$I6)/$L6,"N/A")</f>
        <v/>
      </c>
      <c r="O6" s="12">
        <f>IFERROR(SUM($H6:$I6)/$L6,"N/A")</f>
        <v/>
      </c>
      <c r="P6" s="12">
        <f>IFERROR($I6/$L6,"N/A")</f>
        <v/>
      </c>
      <c r="Q6" s="12">
        <f>IFERROR($J6/$K6,"N/A")</f>
        <v/>
      </c>
    </row>
    <row r="7" ht="15" customHeight="1" thickBot="1">
      <c r="B7" s="38" t="inlineStr">
        <is>
          <t>Securitized Term</t>
        </is>
      </c>
      <c r="C7" s="37">
        <f>SUM(C$8:C$24)</f>
        <v/>
      </c>
      <c r="D7" s="37">
        <f>SUM(D$8:D$24)</f>
        <v/>
      </c>
      <c r="E7" s="37">
        <f>SUM(E$8:E$24)</f>
        <v/>
      </c>
      <c r="F7" s="37">
        <f>SUM(F$8:F$24)</f>
        <v/>
      </c>
      <c r="G7" s="37">
        <f>SUM(G$8:G$24)</f>
        <v/>
      </c>
      <c r="H7" s="37">
        <f>SUM(H$8:H$24)</f>
        <v/>
      </c>
      <c r="I7" s="37">
        <f>SUM(I$8:I$24)</f>
        <v/>
      </c>
      <c r="J7" s="37">
        <f>SUM(J$8:J$24)</f>
        <v/>
      </c>
      <c r="K7" s="43">
        <f>SUM($E7:$J7)</f>
        <v/>
      </c>
      <c r="L7" s="37">
        <f>+$K7-$J7</f>
        <v/>
      </c>
      <c r="N7" s="12">
        <f>IFERROR(SUM($G7:$I7)/$L7,"N/A")</f>
        <v/>
      </c>
      <c r="O7" s="12">
        <f>IFERROR(SUM($H7:$I7)/$L7,"N/A")</f>
        <v/>
      </c>
      <c r="P7" s="22">
        <f>IFERROR($I7/$L7,"N/A")</f>
        <v/>
      </c>
      <c r="Q7" s="12">
        <f>IFERROR($J7/$K7,"N/A")</f>
        <v/>
      </c>
    </row>
    <row r="8" outlineLevel="1">
      <c r="B8" s="39" t="inlineStr">
        <is>
          <t>2017-2</t>
        </is>
      </c>
      <c r="C8" s="26">
        <f>COUNTIFS('Term Loan'!$K:$K,'Term Summary'!$B$7,'Term Loan'!$L:$L,'Term Summary'!$B8)</f>
        <v/>
      </c>
      <c r="D8" s="26">
        <f>COUNTIFS('Term Asset'!$E:$E,'Term Summary'!$B$7,'Term Asset'!$F:$F,'Term Summary'!$B8)</f>
        <v/>
      </c>
      <c r="E8" s="26">
        <f>SUMIFS('Term Loan'!$P:$P,'Term Loan'!$K:$K,'Term Summary'!$B$7,'Term Loan'!$L:$L,'Term Summary'!$B8,'Term Loan'!$V:$V,'Term Summary'!E$5)</f>
        <v/>
      </c>
      <c r="F8" s="26">
        <f>SUMIFS('Term Loan'!$P:$P,'Term Loan'!$K:$K,'Term Summary'!$B$7,'Term Loan'!$L:$L,'Term Summary'!$B8,'Term Loan'!$V:$V,'Term Summary'!F$5)</f>
        <v/>
      </c>
      <c r="G8" s="26">
        <f>SUMIFS('Term Loan'!$P:$P,'Term Loan'!$K:$K,'Term Summary'!$B$7,'Term Loan'!$L:$L,'Term Summary'!$B8,'Term Loan'!$V:$V,'Term Summary'!G$5)</f>
        <v/>
      </c>
      <c r="H8" s="26">
        <f>SUMIFS('Term Loan'!$P:$P,'Term Loan'!$K:$K,'Term Summary'!$B$7,'Term Loan'!$L:$L,'Term Summary'!$B8,'Term Loan'!$V:$V,'Term Summary'!H$5)</f>
        <v/>
      </c>
      <c r="I8" s="26">
        <f>SUMIFS('Term Loan'!$P:$P,'Term Loan'!$K:$K,'Term Summary'!$B$7,'Term Loan'!$L:$L,'Term Summary'!$B8,'Term Loan'!$V:$V,'Term Summary'!I$5)</f>
        <v/>
      </c>
      <c r="J8" s="26">
        <f>SUMIFS('Term Loan'!$P:$P,'Term Loan'!$K:$K,'Term Summary'!$B$7,'Term Loan'!$L:$L,'Term Summary'!$B8,'Term Loan'!$V:$V,'Term Summary'!J$5)</f>
        <v/>
      </c>
      <c r="K8" s="44">
        <f>SUM($E8:$J8)</f>
        <v/>
      </c>
      <c r="L8" s="26">
        <f>+$K8-$J8</f>
        <v/>
      </c>
      <c r="N8" s="12">
        <f>IFERROR(SUM($G8:$I8)/$L8,"N/A")</f>
        <v/>
      </c>
      <c r="O8" s="12">
        <f>IFERROR(SUM($H8:$I8)/$L8,"N/A")</f>
        <v/>
      </c>
      <c r="P8" s="12">
        <f>IFERROR($I8/$L8,"N/A")</f>
        <v/>
      </c>
      <c r="Q8" s="12">
        <f>IFERROR($J8/$K8,"N/A")</f>
        <v/>
      </c>
    </row>
    <row r="9" outlineLevel="1">
      <c r="B9" s="39" t="inlineStr">
        <is>
          <t>2018-1</t>
        </is>
      </c>
      <c r="C9" s="26">
        <f>COUNTIFS('Term Loan'!$K:$K,'Term Summary'!$B$7,'Term Loan'!$L:$L,'Term Summary'!$B9)</f>
        <v/>
      </c>
      <c r="D9" s="26">
        <f>COUNTIFS('Term Asset'!$E:$E,'Term Summary'!$B$7,'Term Asset'!$F:$F,'Term Summary'!$B9)</f>
        <v/>
      </c>
      <c r="E9" s="26">
        <f>SUMIFS('Term Loan'!$P:$P,'Term Loan'!$K:$K,'Term Summary'!$B$7,'Term Loan'!$L:$L,'Term Summary'!$B9,'Term Loan'!$V:$V,'Term Summary'!E$5)</f>
        <v/>
      </c>
      <c r="F9" s="26">
        <f>SUMIFS('Term Loan'!$P:$P,'Term Loan'!$K:$K,'Term Summary'!$B$7,'Term Loan'!$L:$L,'Term Summary'!$B9,'Term Loan'!$V:$V,'Term Summary'!F$5)</f>
        <v/>
      </c>
      <c r="G9" s="26">
        <f>SUMIFS('Term Loan'!$P:$P,'Term Loan'!$K:$K,'Term Summary'!$B$7,'Term Loan'!$L:$L,'Term Summary'!$B9,'Term Loan'!$V:$V,'Term Summary'!G$5)</f>
        <v/>
      </c>
      <c r="H9" s="26">
        <f>SUMIFS('Term Loan'!$P:$P,'Term Loan'!$K:$K,'Term Summary'!$B$7,'Term Loan'!$L:$L,'Term Summary'!$B9,'Term Loan'!$V:$V,'Term Summary'!H$5)</f>
        <v/>
      </c>
      <c r="I9" s="26">
        <f>SUMIFS('Term Loan'!$P:$P,'Term Loan'!$K:$K,'Term Summary'!$B$7,'Term Loan'!$L:$L,'Term Summary'!$B9,'Term Loan'!$V:$V,'Term Summary'!I$5)</f>
        <v/>
      </c>
      <c r="J9" s="26">
        <f>SUMIFS('Term Loan'!$P:$P,'Term Loan'!$K:$K,'Term Summary'!$B$7,'Term Loan'!$L:$L,'Term Summary'!$B9,'Term Loan'!$V:$V,'Term Summary'!J$5)</f>
        <v/>
      </c>
      <c r="K9" s="44">
        <f>SUM($E9:$J9)</f>
        <v/>
      </c>
      <c r="L9" s="26">
        <f>+$K9-$J9</f>
        <v/>
      </c>
      <c r="N9" s="12">
        <f>IFERROR(SUM($G9:$I9)/$L9,"N/A")</f>
        <v/>
      </c>
      <c r="O9" s="12">
        <f>IFERROR(SUM($H9:$I9)/$L9,"N/A")</f>
        <v/>
      </c>
      <c r="P9" s="12">
        <f>IFERROR($I9/$L9,"N/A")</f>
        <v/>
      </c>
      <c r="Q9" s="12">
        <f>IFERROR($J9/$K9,"N/A")</f>
        <v/>
      </c>
    </row>
    <row r="10" outlineLevel="1">
      <c r="B10" s="39" t="inlineStr">
        <is>
          <t>2018-2</t>
        </is>
      </c>
      <c r="C10" s="26">
        <f>COUNTIFS('Term Loan'!$K:$K,'Term Summary'!$B$7,'Term Loan'!$L:$L,'Term Summary'!$B10)</f>
        <v/>
      </c>
      <c r="D10" s="26">
        <f>COUNTIFS('Term Asset'!$E:$E,'Term Summary'!$B$7,'Term Asset'!$F:$F,'Term Summary'!$B10)</f>
        <v/>
      </c>
      <c r="E10" s="26">
        <f>SUMIFS('Term Loan'!$P:$P,'Term Loan'!$K:$K,'Term Summary'!$B$7,'Term Loan'!$L:$L,'Term Summary'!$B10,'Term Loan'!$V:$V,'Term Summary'!E$5)</f>
        <v/>
      </c>
      <c r="F10" s="26">
        <f>SUMIFS('Term Loan'!$P:$P,'Term Loan'!$K:$K,'Term Summary'!$B$7,'Term Loan'!$L:$L,'Term Summary'!$B10,'Term Loan'!$V:$V,'Term Summary'!F$5)</f>
        <v/>
      </c>
      <c r="G10" s="26">
        <f>SUMIFS('Term Loan'!$P:$P,'Term Loan'!$K:$K,'Term Summary'!$B$7,'Term Loan'!$L:$L,'Term Summary'!$B10,'Term Loan'!$V:$V,'Term Summary'!G$5)</f>
        <v/>
      </c>
      <c r="H10" s="26">
        <f>SUMIFS('Term Loan'!$P:$P,'Term Loan'!$K:$K,'Term Summary'!$B$7,'Term Loan'!$L:$L,'Term Summary'!$B10,'Term Loan'!$V:$V,'Term Summary'!H$5)</f>
        <v/>
      </c>
      <c r="I10" s="26">
        <f>SUMIFS('Term Loan'!$P:$P,'Term Loan'!$K:$K,'Term Summary'!$B$7,'Term Loan'!$L:$L,'Term Summary'!$B10,'Term Loan'!$V:$V,'Term Summary'!I$5)</f>
        <v/>
      </c>
      <c r="J10" s="26">
        <f>SUMIFS('Term Loan'!$P:$P,'Term Loan'!$K:$K,'Term Summary'!$B$7,'Term Loan'!$L:$L,'Term Summary'!$B10,'Term Loan'!$V:$V,'Term Summary'!J$5)</f>
        <v/>
      </c>
      <c r="K10" s="44">
        <f>SUM($E10:$J10)</f>
        <v/>
      </c>
      <c r="L10" s="26">
        <f>+$K10-$J10</f>
        <v/>
      </c>
      <c r="N10" s="12">
        <f>IFERROR(SUM($G10:$I10)/$L10,"N/A")</f>
        <v/>
      </c>
      <c r="O10" s="12">
        <f>IFERROR(SUM($H10:$I10)/$L10,"N/A")</f>
        <v/>
      </c>
      <c r="P10" s="12">
        <f>IFERROR($I10/$L10,"N/A")</f>
        <v/>
      </c>
      <c r="Q10" s="12">
        <f>IFERROR($J10/$K10,"N/A")</f>
        <v/>
      </c>
    </row>
    <row r="11" outlineLevel="1">
      <c r="B11" s="39" t="inlineStr">
        <is>
          <t>2019-1</t>
        </is>
      </c>
      <c r="C11" s="26">
        <f>COUNTIFS('Term Loan'!$K:$K,'Term Summary'!$B$7,'Term Loan'!$L:$L,'Term Summary'!$B11)</f>
        <v/>
      </c>
      <c r="D11" s="26">
        <f>COUNTIFS('Term Asset'!$E:$E,'Term Summary'!$B$7,'Term Asset'!$F:$F,'Term Summary'!$B11)</f>
        <v/>
      </c>
      <c r="E11" s="26">
        <f>SUMIFS('Term Loan'!$P:$P,'Term Loan'!$K:$K,'Term Summary'!$B$7,'Term Loan'!$L:$L,'Term Summary'!$B11,'Term Loan'!$V:$V,'Term Summary'!E$5)</f>
        <v/>
      </c>
      <c r="F11" s="26">
        <f>SUMIFS('Term Loan'!$P:$P,'Term Loan'!$K:$K,'Term Summary'!$B$7,'Term Loan'!$L:$L,'Term Summary'!$B11,'Term Loan'!$V:$V,'Term Summary'!F$5)</f>
        <v/>
      </c>
      <c r="G11" s="26">
        <f>SUMIFS('Term Loan'!$P:$P,'Term Loan'!$K:$K,'Term Summary'!$B$7,'Term Loan'!$L:$L,'Term Summary'!$B11,'Term Loan'!$V:$V,'Term Summary'!G$5)</f>
        <v/>
      </c>
      <c r="H11" s="26">
        <f>SUMIFS('Term Loan'!$P:$P,'Term Loan'!$K:$K,'Term Summary'!$B$7,'Term Loan'!$L:$L,'Term Summary'!$B11,'Term Loan'!$V:$V,'Term Summary'!H$5)</f>
        <v/>
      </c>
      <c r="I11" s="26">
        <f>SUMIFS('Term Loan'!$P:$P,'Term Loan'!$K:$K,'Term Summary'!$B$7,'Term Loan'!$L:$L,'Term Summary'!$B11,'Term Loan'!$V:$V,'Term Summary'!I$5)</f>
        <v/>
      </c>
      <c r="J11" s="26">
        <f>SUMIFS('Term Loan'!$P:$P,'Term Loan'!$K:$K,'Term Summary'!$B$7,'Term Loan'!$L:$L,'Term Summary'!$B11,'Term Loan'!$V:$V,'Term Summary'!J$5)</f>
        <v/>
      </c>
      <c r="K11" s="44">
        <f>SUM($E11:$J11)</f>
        <v/>
      </c>
      <c r="L11" s="26">
        <f>+$K11-$J11</f>
        <v/>
      </c>
      <c r="N11" s="12">
        <f>IFERROR(SUM($G11:$I11)/$L11,"N/A")</f>
        <v/>
      </c>
      <c r="O11" s="12">
        <f>IFERROR(SUM($H11:$I11)/$L11,"N/A")</f>
        <v/>
      </c>
      <c r="P11" s="12">
        <f>IFERROR($I11/$L11,"N/A")</f>
        <v/>
      </c>
      <c r="Q11" s="12">
        <f>IFERROR($J11/$K11,"N/A")</f>
        <v/>
      </c>
    </row>
    <row r="12" outlineLevel="1">
      <c r="B12" s="39" t="inlineStr">
        <is>
          <t>2019-2</t>
        </is>
      </c>
      <c r="C12" s="26">
        <f>COUNTIFS('Term Loan'!$K:$K,'Term Summary'!$B$7,'Term Loan'!$L:$L,'Term Summary'!$B12)</f>
        <v/>
      </c>
      <c r="D12" s="26">
        <f>COUNTIFS('Term Asset'!$E:$E,'Term Summary'!$B$7,'Term Asset'!$F:$F,'Term Summary'!$B12)</f>
        <v/>
      </c>
      <c r="E12" s="26">
        <f>SUMIFS('Term Loan'!$P:$P,'Term Loan'!$K:$K,'Term Summary'!$B$7,'Term Loan'!$L:$L,'Term Summary'!$B12,'Term Loan'!$V:$V,'Term Summary'!E$5)</f>
        <v/>
      </c>
      <c r="F12" s="26">
        <f>SUMIFS('Term Loan'!$P:$P,'Term Loan'!$K:$K,'Term Summary'!$B$7,'Term Loan'!$L:$L,'Term Summary'!$B12,'Term Loan'!$V:$V,'Term Summary'!F$5)</f>
        <v/>
      </c>
      <c r="G12" s="26">
        <f>SUMIFS('Term Loan'!$P:$P,'Term Loan'!$K:$K,'Term Summary'!$B$7,'Term Loan'!$L:$L,'Term Summary'!$B12,'Term Loan'!$V:$V,'Term Summary'!G$5)</f>
        <v/>
      </c>
      <c r="H12" s="26">
        <f>SUMIFS('Term Loan'!$P:$P,'Term Loan'!$K:$K,'Term Summary'!$B$7,'Term Loan'!$L:$L,'Term Summary'!$B12,'Term Loan'!$V:$V,'Term Summary'!H$5)</f>
        <v/>
      </c>
      <c r="I12" s="26">
        <f>SUMIFS('Term Loan'!$P:$P,'Term Loan'!$K:$K,'Term Summary'!$B$7,'Term Loan'!$L:$L,'Term Summary'!$B12,'Term Loan'!$V:$V,'Term Summary'!I$5)</f>
        <v/>
      </c>
      <c r="J12" s="26">
        <f>SUMIFS('Term Loan'!$P:$P,'Term Loan'!$K:$K,'Term Summary'!$B$7,'Term Loan'!$L:$L,'Term Summary'!$B12,'Term Loan'!$V:$V,'Term Summary'!J$5)</f>
        <v/>
      </c>
      <c r="K12" s="44">
        <f>SUM($E12:$J12)</f>
        <v/>
      </c>
      <c r="L12" s="26">
        <f>+$K12-$J12</f>
        <v/>
      </c>
      <c r="N12" s="12">
        <f>IFERROR(SUM($G12:$I12)/$L12,"N/A")</f>
        <v/>
      </c>
      <c r="O12" s="12">
        <f>IFERROR(SUM($H12:$I12)/$L12,"N/A")</f>
        <v/>
      </c>
      <c r="P12" s="12">
        <f>IFERROR($I12/$L12,"N/A")</f>
        <v/>
      </c>
      <c r="Q12" s="12">
        <f>IFERROR($J12/$K12,"N/A")</f>
        <v/>
      </c>
    </row>
    <row r="13" outlineLevel="1">
      <c r="B13" s="39" t="inlineStr">
        <is>
          <t>2019-3</t>
        </is>
      </c>
      <c r="C13" s="26">
        <f>COUNTIFS('Term Loan'!$K:$K,'Term Summary'!$B$7,'Term Loan'!$L:$L,'Term Summary'!$B13)</f>
        <v/>
      </c>
      <c r="D13" s="26">
        <f>COUNTIFS('Term Asset'!$E:$E,'Term Summary'!$B$7,'Term Asset'!$F:$F,'Term Summary'!$B13)</f>
        <v/>
      </c>
      <c r="E13" s="26">
        <f>SUMIFS('Term Loan'!$P:$P,'Term Loan'!$K:$K,'Term Summary'!$B$7,'Term Loan'!$L:$L,'Term Summary'!$B13,'Term Loan'!$V:$V,'Term Summary'!E$5)</f>
        <v/>
      </c>
      <c r="F13" s="26">
        <f>SUMIFS('Term Loan'!$P:$P,'Term Loan'!$K:$K,'Term Summary'!$B$7,'Term Loan'!$L:$L,'Term Summary'!$B13,'Term Loan'!$V:$V,'Term Summary'!F$5)</f>
        <v/>
      </c>
      <c r="G13" s="26">
        <f>SUMIFS('Term Loan'!$P:$P,'Term Loan'!$K:$K,'Term Summary'!$B$7,'Term Loan'!$L:$L,'Term Summary'!$B13,'Term Loan'!$V:$V,'Term Summary'!G$5)</f>
        <v/>
      </c>
      <c r="H13" s="26">
        <f>SUMIFS('Term Loan'!$P:$P,'Term Loan'!$K:$K,'Term Summary'!$B$7,'Term Loan'!$L:$L,'Term Summary'!$B13,'Term Loan'!$V:$V,'Term Summary'!H$5)</f>
        <v/>
      </c>
      <c r="I13" s="26">
        <f>SUMIFS('Term Loan'!$P:$P,'Term Loan'!$K:$K,'Term Summary'!$B$7,'Term Loan'!$L:$L,'Term Summary'!$B13,'Term Loan'!$V:$V,'Term Summary'!I$5)</f>
        <v/>
      </c>
      <c r="J13" s="26">
        <f>SUMIFS('Term Loan'!$P:$P,'Term Loan'!$K:$K,'Term Summary'!$B$7,'Term Loan'!$L:$L,'Term Summary'!$B13,'Term Loan'!$V:$V,'Term Summary'!J$5)</f>
        <v/>
      </c>
      <c r="K13" s="44">
        <f>SUM($E13:$J13)</f>
        <v/>
      </c>
      <c r="L13" s="26">
        <f>+$K13-$J13</f>
        <v/>
      </c>
      <c r="N13" s="12">
        <f>IFERROR(SUM($G13:$I13)/$L13,"N/A")</f>
        <v/>
      </c>
      <c r="O13" s="12">
        <f>IFERROR(SUM($H13:$I13)/$L13,"N/A")</f>
        <v/>
      </c>
      <c r="P13" s="12">
        <f>IFERROR($I13/$L13,"N/A")</f>
        <v/>
      </c>
      <c r="Q13" s="12">
        <f>IFERROR($J13/$K13,"N/A")</f>
        <v/>
      </c>
    </row>
    <row r="14" outlineLevel="1">
      <c r="B14" s="39" t="inlineStr">
        <is>
          <t>2020-1</t>
        </is>
      </c>
      <c r="C14" s="26">
        <f>COUNTIFS('Term Loan'!$K:$K,'Term Summary'!$B$7,'Term Loan'!$L:$L,'Term Summary'!$B14)</f>
        <v/>
      </c>
      <c r="D14" s="26">
        <f>COUNTIFS('Term Asset'!$E:$E,'Term Summary'!$B$7,'Term Asset'!$F:$F,'Term Summary'!$B14)</f>
        <v/>
      </c>
      <c r="E14" s="26">
        <f>SUMIFS('Term Loan'!$P:$P,'Term Loan'!$K:$K,'Term Summary'!$B$7,'Term Loan'!$L:$L,'Term Summary'!$B14,'Term Loan'!$V:$V,'Term Summary'!E$5)</f>
        <v/>
      </c>
      <c r="F14" s="26">
        <f>SUMIFS('Term Loan'!$P:$P,'Term Loan'!$K:$K,'Term Summary'!$B$7,'Term Loan'!$L:$L,'Term Summary'!$B14,'Term Loan'!$V:$V,'Term Summary'!F$5)</f>
        <v/>
      </c>
      <c r="G14" s="26">
        <f>SUMIFS('Term Loan'!$P:$P,'Term Loan'!$K:$K,'Term Summary'!$B$7,'Term Loan'!$L:$L,'Term Summary'!$B14,'Term Loan'!$V:$V,'Term Summary'!G$5)</f>
        <v/>
      </c>
      <c r="H14" s="26">
        <f>SUMIFS('Term Loan'!$P:$P,'Term Loan'!$K:$K,'Term Summary'!$B$7,'Term Loan'!$L:$L,'Term Summary'!$B14,'Term Loan'!$V:$V,'Term Summary'!H$5)</f>
        <v/>
      </c>
      <c r="I14" s="26">
        <f>SUMIFS('Term Loan'!$P:$P,'Term Loan'!$K:$K,'Term Summary'!$B$7,'Term Loan'!$L:$L,'Term Summary'!$B14,'Term Loan'!$V:$V,'Term Summary'!I$5)</f>
        <v/>
      </c>
      <c r="J14" s="26">
        <f>SUMIFS('Term Loan'!$P:$P,'Term Loan'!$K:$K,'Term Summary'!$B$7,'Term Loan'!$L:$L,'Term Summary'!$B14,'Term Loan'!$V:$V,'Term Summary'!J$5)</f>
        <v/>
      </c>
      <c r="K14" s="44">
        <f>SUM($E14:$J14)</f>
        <v/>
      </c>
      <c r="L14" s="26">
        <f>+$K14-$J14</f>
        <v/>
      </c>
      <c r="N14" s="12">
        <f>IFERROR(SUM($G14:$I14)/$L14,"N/A")</f>
        <v/>
      </c>
      <c r="O14" s="12">
        <f>IFERROR(SUM($H14:$I14)/$L14,"N/A")</f>
        <v/>
      </c>
      <c r="P14" s="12">
        <f>IFERROR($I14/$L14,"N/A")</f>
        <v/>
      </c>
      <c r="Q14" s="12">
        <f>IFERROR($J14/$K14,"N/A")</f>
        <v/>
      </c>
    </row>
    <row r="15" outlineLevel="1">
      <c r="B15" s="39" t="inlineStr">
        <is>
          <t>2020-2</t>
        </is>
      </c>
      <c r="C15" s="26">
        <f>COUNTIFS('Term Loan'!$K:$K,'Term Summary'!$B$7,'Term Loan'!$L:$L,'Term Summary'!$B15)</f>
        <v/>
      </c>
      <c r="D15" s="26">
        <f>COUNTIFS('Term Asset'!$E:$E,'Term Summary'!$B$7,'Term Asset'!$F:$F,'Term Summary'!$B15)</f>
        <v/>
      </c>
      <c r="E15" s="26">
        <f>SUMIFS('Term Loan'!$P:$P,'Term Loan'!$K:$K,'Term Summary'!$B$7,'Term Loan'!$L:$L,'Term Summary'!$B15,'Term Loan'!$V:$V,'Term Summary'!E$5)</f>
        <v/>
      </c>
      <c r="F15" s="26">
        <f>SUMIFS('Term Loan'!$P:$P,'Term Loan'!$K:$K,'Term Summary'!$B$7,'Term Loan'!$L:$L,'Term Summary'!$B15,'Term Loan'!$V:$V,'Term Summary'!F$5)</f>
        <v/>
      </c>
      <c r="G15" s="26">
        <f>SUMIFS('Term Loan'!$P:$P,'Term Loan'!$K:$K,'Term Summary'!$B$7,'Term Loan'!$L:$L,'Term Summary'!$B15,'Term Loan'!$V:$V,'Term Summary'!G$5)</f>
        <v/>
      </c>
      <c r="H15" s="26">
        <f>SUMIFS('Term Loan'!$P:$P,'Term Loan'!$K:$K,'Term Summary'!$B$7,'Term Loan'!$L:$L,'Term Summary'!$B15,'Term Loan'!$V:$V,'Term Summary'!H$5)</f>
        <v/>
      </c>
      <c r="I15" s="26">
        <f>SUMIFS('Term Loan'!$P:$P,'Term Loan'!$K:$K,'Term Summary'!$B$7,'Term Loan'!$L:$L,'Term Summary'!$B15,'Term Loan'!$V:$V,'Term Summary'!I$5)</f>
        <v/>
      </c>
      <c r="J15" s="26">
        <f>SUMIFS('Term Loan'!$P:$P,'Term Loan'!$K:$K,'Term Summary'!$B$7,'Term Loan'!$L:$L,'Term Summary'!$B15,'Term Loan'!$V:$V,'Term Summary'!J$5)</f>
        <v/>
      </c>
      <c r="K15" s="44">
        <f>SUM($E15:$J15)</f>
        <v/>
      </c>
      <c r="L15" s="26">
        <f>+$K15-$J15</f>
        <v/>
      </c>
      <c r="N15" s="12">
        <f>IFERROR(SUM($G15:$I15)/$L15,"N/A")</f>
        <v/>
      </c>
      <c r="O15" s="12">
        <f>IFERROR(SUM($H15:$I15)/$L15,"N/A")</f>
        <v/>
      </c>
      <c r="P15" s="12">
        <f>IFERROR($I15/$L15,"N/A")</f>
        <v/>
      </c>
      <c r="Q15" s="12">
        <f>IFERROR($J15/$K15,"N/A")</f>
        <v/>
      </c>
    </row>
    <row r="16" outlineLevel="1">
      <c r="B16" s="39" t="inlineStr">
        <is>
          <t>2020-3</t>
        </is>
      </c>
      <c r="C16" s="26">
        <f>COUNTIFS('Term Loan'!$K:$K,'Term Summary'!$B$7,'Term Loan'!$L:$L,'Term Summary'!$B16)</f>
        <v/>
      </c>
      <c r="D16" s="26">
        <f>COUNTIFS('Term Asset'!$E:$E,'Term Summary'!$B$7,'Term Asset'!$F:$F,'Term Summary'!$B16)</f>
        <v/>
      </c>
      <c r="E16" s="26">
        <f>SUMIFS('Term Loan'!$P:$P,'Term Loan'!$K:$K,'Term Summary'!$B$7,'Term Loan'!$L:$L,'Term Summary'!$B16,'Term Loan'!$V:$V,'Term Summary'!E$5)</f>
        <v/>
      </c>
      <c r="F16" s="26">
        <f>SUMIFS('Term Loan'!$P:$P,'Term Loan'!$K:$K,'Term Summary'!$B$7,'Term Loan'!$L:$L,'Term Summary'!$B16,'Term Loan'!$V:$V,'Term Summary'!F$5)</f>
        <v/>
      </c>
      <c r="G16" s="26">
        <f>SUMIFS('Term Loan'!$P:$P,'Term Loan'!$K:$K,'Term Summary'!$B$7,'Term Loan'!$L:$L,'Term Summary'!$B16,'Term Loan'!$V:$V,'Term Summary'!G$5)</f>
        <v/>
      </c>
      <c r="H16" s="26">
        <f>SUMIFS('Term Loan'!$P:$P,'Term Loan'!$K:$K,'Term Summary'!$B$7,'Term Loan'!$L:$L,'Term Summary'!$B16,'Term Loan'!$V:$V,'Term Summary'!H$5)</f>
        <v/>
      </c>
      <c r="I16" s="26">
        <f>SUMIFS('Term Loan'!$P:$P,'Term Loan'!$K:$K,'Term Summary'!$B$7,'Term Loan'!$L:$L,'Term Summary'!$B16,'Term Loan'!$V:$V,'Term Summary'!I$5)</f>
        <v/>
      </c>
      <c r="J16" s="26">
        <f>SUMIFS('Term Loan'!$P:$P,'Term Loan'!$K:$K,'Term Summary'!$B$7,'Term Loan'!$L:$L,'Term Summary'!$B16,'Term Loan'!$V:$V,'Term Summary'!J$5)</f>
        <v/>
      </c>
      <c r="K16" s="44">
        <f>SUM($E16:$J16)</f>
        <v/>
      </c>
      <c r="L16" s="26">
        <f>+$K16-$J16</f>
        <v/>
      </c>
      <c r="N16" s="12">
        <f>IFERROR(SUM($G16:$I16)/$L16,"N/A")</f>
        <v/>
      </c>
      <c r="O16" s="12">
        <f>IFERROR(SUM($H16:$I16)/$L16,"N/A")</f>
        <v/>
      </c>
      <c r="P16" s="12">
        <f>IFERROR($I16/$L16,"N/A")</f>
        <v/>
      </c>
      <c r="Q16" s="12">
        <f>IFERROR($J16/$K16,"N/A")</f>
        <v/>
      </c>
    </row>
    <row r="17" outlineLevel="1">
      <c r="B17" s="39" t="inlineStr">
        <is>
          <t>2020-4</t>
        </is>
      </c>
      <c r="C17" s="26">
        <f>COUNTIFS('Term Loan'!$K:$K,'Term Summary'!$B$7,'Term Loan'!$L:$L,'Term Summary'!$B17)</f>
        <v/>
      </c>
      <c r="D17" s="26">
        <f>COUNTIFS('Term Asset'!$E:$E,'Term Summary'!$B$7,'Term Asset'!$F:$F,'Term Summary'!$B17)</f>
        <v/>
      </c>
      <c r="E17" s="26">
        <f>SUMIFS('Term Loan'!$P:$P,'Term Loan'!$K:$K,'Term Summary'!$B$7,'Term Loan'!$L:$L,'Term Summary'!$B17,'Term Loan'!$V:$V,'Term Summary'!E$5)</f>
        <v/>
      </c>
      <c r="F17" s="26">
        <f>SUMIFS('Term Loan'!$P:$P,'Term Loan'!$K:$K,'Term Summary'!$B$7,'Term Loan'!$L:$L,'Term Summary'!$B17,'Term Loan'!$V:$V,'Term Summary'!F$5)</f>
        <v/>
      </c>
      <c r="G17" s="26">
        <f>SUMIFS('Term Loan'!$P:$P,'Term Loan'!$K:$K,'Term Summary'!$B$7,'Term Loan'!$L:$L,'Term Summary'!$B17,'Term Loan'!$V:$V,'Term Summary'!G$5)</f>
        <v/>
      </c>
      <c r="H17" s="26">
        <f>SUMIFS('Term Loan'!$P:$P,'Term Loan'!$K:$K,'Term Summary'!$B$7,'Term Loan'!$L:$L,'Term Summary'!$B17,'Term Loan'!$V:$V,'Term Summary'!H$5)</f>
        <v/>
      </c>
      <c r="I17" s="26">
        <f>SUMIFS('Term Loan'!$P:$P,'Term Loan'!$K:$K,'Term Summary'!$B$7,'Term Loan'!$L:$L,'Term Summary'!$B17,'Term Loan'!$V:$V,'Term Summary'!I$5)</f>
        <v/>
      </c>
      <c r="J17" s="26">
        <f>SUMIFS('Term Loan'!$P:$P,'Term Loan'!$K:$K,'Term Summary'!$B$7,'Term Loan'!$L:$L,'Term Summary'!$B17,'Term Loan'!$V:$V,'Term Summary'!J$5)</f>
        <v/>
      </c>
      <c r="K17" s="44">
        <f>SUM($E17:$J17)</f>
        <v/>
      </c>
      <c r="L17" s="26">
        <f>+$K17-$J17</f>
        <v/>
      </c>
      <c r="N17" s="12">
        <f>IFERROR(SUM($G17:$I17)/$L17,"N/A")</f>
        <v/>
      </c>
      <c r="O17" s="12">
        <f>IFERROR(SUM($H17:$I17)/$L17,"N/A")</f>
        <v/>
      </c>
      <c r="P17" s="12">
        <f>IFERROR($I17/$L17,"N/A")</f>
        <v/>
      </c>
      <c r="Q17" s="12">
        <f>IFERROR($J17/$K17,"N/A")</f>
        <v/>
      </c>
    </row>
    <row r="18" outlineLevel="1">
      <c r="B18" s="39" t="inlineStr">
        <is>
          <t>2020-P1</t>
        </is>
      </c>
      <c r="C18" s="26">
        <f>COUNTIFS('Term Loan'!$K:$K,'Term Summary'!$B$7,'Term Loan'!$L:$L,'Term Summary'!$B18)</f>
        <v/>
      </c>
      <c r="D18" s="26">
        <f>COUNTIFS('Term Asset'!$E:$E,'Term Summary'!$B$7,'Term Asset'!$F:$F,'Term Summary'!$B18)</f>
        <v/>
      </c>
      <c r="E18" s="26">
        <f>SUMIFS('Term Loan'!$P:$P,'Term Loan'!$K:$K,'Term Summary'!$B$7,'Term Loan'!$L:$L,'Term Summary'!$B18,'Term Loan'!$V:$V,'Term Summary'!E$5)</f>
        <v/>
      </c>
      <c r="F18" s="26">
        <f>SUMIFS('Term Loan'!$P:$P,'Term Loan'!$K:$K,'Term Summary'!$B$7,'Term Loan'!$L:$L,'Term Summary'!$B18,'Term Loan'!$V:$V,'Term Summary'!F$5)</f>
        <v/>
      </c>
      <c r="G18" s="26">
        <f>SUMIFS('Term Loan'!$P:$P,'Term Loan'!$K:$K,'Term Summary'!$B$7,'Term Loan'!$L:$L,'Term Summary'!$B18,'Term Loan'!$V:$V,'Term Summary'!G$5)</f>
        <v/>
      </c>
      <c r="H18" s="26">
        <f>SUMIFS('Term Loan'!$P:$P,'Term Loan'!$K:$K,'Term Summary'!$B$7,'Term Loan'!$L:$L,'Term Summary'!$B18,'Term Loan'!$V:$V,'Term Summary'!H$5)</f>
        <v/>
      </c>
      <c r="I18" s="26">
        <f>SUMIFS('Term Loan'!$P:$P,'Term Loan'!$K:$K,'Term Summary'!$B$7,'Term Loan'!$L:$L,'Term Summary'!$B18,'Term Loan'!$V:$V,'Term Summary'!I$5)</f>
        <v/>
      </c>
      <c r="J18" s="26">
        <f>SUMIFS('Term Loan'!$P:$P,'Term Loan'!$K:$K,'Term Summary'!$B$7,'Term Loan'!$L:$L,'Term Summary'!$B18,'Term Loan'!$V:$V,'Term Summary'!J$5)</f>
        <v/>
      </c>
      <c r="K18" s="44">
        <f>SUM($E18:$J18)</f>
        <v/>
      </c>
      <c r="L18" s="26">
        <f>+$K18-$J18</f>
        <v/>
      </c>
      <c r="N18" s="12">
        <f>IFERROR(SUM($G18:$I18)/$L18,"N/A")</f>
        <v/>
      </c>
      <c r="O18" s="12">
        <f>IFERROR(SUM($H18:$I18)/$L18,"N/A")</f>
        <v/>
      </c>
      <c r="P18" s="12">
        <f>IFERROR($I18/$L18,"N/A")</f>
        <v/>
      </c>
      <c r="Q18" s="12">
        <f>IFERROR($J18/$K18,"N/A")</f>
        <v/>
      </c>
    </row>
    <row r="19" outlineLevel="1">
      <c r="B19" s="39" t="inlineStr">
        <is>
          <t>2021-1</t>
        </is>
      </c>
      <c r="C19" s="26">
        <f>COUNTIFS('Term Loan'!$K:$K,'Term Summary'!$B$7,'Term Loan'!$L:$L,'Term Summary'!$B19)</f>
        <v/>
      </c>
      <c r="D19" s="26">
        <f>COUNTIFS('Term Asset'!$E:$E,'Term Summary'!$B$7,'Term Asset'!$F:$F,'Term Summary'!$B19)</f>
        <v/>
      </c>
      <c r="E19" s="26">
        <f>SUMIFS('Term Loan'!$P:$P,'Term Loan'!$K:$K,'Term Summary'!$B$7,'Term Loan'!$L:$L,'Term Summary'!$B19,'Term Loan'!$V:$V,'Term Summary'!E$5)</f>
        <v/>
      </c>
      <c r="F19" s="26">
        <f>SUMIFS('Term Loan'!$P:$P,'Term Loan'!$K:$K,'Term Summary'!$B$7,'Term Loan'!$L:$L,'Term Summary'!$B19,'Term Loan'!$V:$V,'Term Summary'!F$5)</f>
        <v/>
      </c>
      <c r="G19" s="26">
        <f>SUMIFS('Term Loan'!$P:$P,'Term Loan'!$K:$K,'Term Summary'!$B$7,'Term Loan'!$L:$L,'Term Summary'!$B19,'Term Loan'!$V:$V,'Term Summary'!G$5)</f>
        <v/>
      </c>
      <c r="H19" s="26">
        <f>SUMIFS('Term Loan'!$P:$P,'Term Loan'!$K:$K,'Term Summary'!$B$7,'Term Loan'!$L:$L,'Term Summary'!$B19,'Term Loan'!$V:$V,'Term Summary'!H$5)</f>
        <v/>
      </c>
      <c r="I19" s="26">
        <f>SUMIFS('Term Loan'!$P:$P,'Term Loan'!$K:$K,'Term Summary'!$B$7,'Term Loan'!$L:$L,'Term Summary'!$B19,'Term Loan'!$V:$V,'Term Summary'!I$5)</f>
        <v/>
      </c>
      <c r="J19" s="26">
        <f>SUMIFS('Term Loan'!$P:$P,'Term Loan'!$K:$K,'Term Summary'!$B$7,'Term Loan'!$L:$L,'Term Summary'!$B19,'Term Loan'!$V:$V,'Term Summary'!J$5)</f>
        <v/>
      </c>
      <c r="K19" s="44">
        <f>SUM($E19:$J19)</f>
        <v/>
      </c>
      <c r="L19" s="26">
        <f>+$K19-$J19</f>
        <v/>
      </c>
      <c r="N19" s="12">
        <f>IFERROR(SUM($G19:$I19)/$L19,"N/A")</f>
        <v/>
      </c>
      <c r="O19" s="12">
        <f>IFERROR(SUM($H19:$I19)/$L19,"N/A")</f>
        <v/>
      </c>
      <c r="P19" s="12">
        <f>IFERROR($I19/$L19,"N/A")</f>
        <v/>
      </c>
      <c r="Q19" s="12">
        <f>IFERROR($J19/$K19,"N/A")</f>
        <v/>
      </c>
    </row>
    <row r="20" outlineLevel="1">
      <c r="B20" s="39" t="inlineStr">
        <is>
          <t>2021-2</t>
        </is>
      </c>
      <c r="C20" s="26">
        <f>COUNTIFS('Term Loan'!$K:$K,'Term Summary'!$B$7,'Term Loan'!$L:$L,'Term Summary'!$B20)</f>
        <v/>
      </c>
      <c r="D20" s="26">
        <f>COUNTIFS('Term Asset'!$E:$E,'Term Summary'!$B$7,'Term Asset'!$F:$F,'Term Summary'!$B20)</f>
        <v/>
      </c>
      <c r="E20" s="26">
        <f>SUMIFS('Term Loan'!$P:$P,'Term Loan'!$K:$K,'Term Summary'!$B$7,'Term Loan'!$L:$L,'Term Summary'!$B20,'Term Loan'!$V:$V,'Term Summary'!E$5)</f>
        <v/>
      </c>
      <c r="F20" s="26">
        <f>SUMIFS('Term Loan'!$P:$P,'Term Loan'!$K:$K,'Term Summary'!$B$7,'Term Loan'!$L:$L,'Term Summary'!$B20,'Term Loan'!$V:$V,'Term Summary'!F$5)</f>
        <v/>
      </c>
      <c r="G20" s="26">
        <f>SUMIFS('Term Loan'!$P:$P,'Term Loan'!$K:$K,'Term Summary'!$B$7,'Term Loan'!$L:$L,'Term Summary'!$B20,'Term Loan'!$V:$V,'Term Summary'!G$5)</f>
        <v/>
      </c>
      <c r="H20" s="26">
        <f>SUMIFS('Term Loan'!$P:$P,'Term Loan'!$K:$K,'Term Summary'!$B$7,'Term Loan'!$L:$L,'Term Summary'!$B20,'Term Loan'!$V:$V,'Term Summary'!H$5)</f>
        <v/>
      </c>
      <c r="I20" s="26">
        <f>SUMIFS('Term Loan'!$P:$P,'Term Loan'!$K:$K,'Term Summary'!$B$7,'Term Loan'!$L:$L,'Term Summary'!$B20,'Term Loan'!$V:$V,'Term Summary'!I$5)</f>
        <v/>
      </c>
      <c r="J20" s="26">
        <f>SUMIFS('Term Loan'!$P:$P,'Term Loan'!$K:$K,'Term Summary'!$B$7,'Term Loan'!$L:$L,'Term Summary'!$B20,'Term Loan'!$V:$V,'Term Summary'!J$5)</f>
        <v/>
      </c>
      <c r="K20" s="44">
        <f>SUM($E20:$J20)</f>
        <v/>
      </c>
      <c r="L20" s="26">
        <f>+$K20-$J20</f>
        <v/>
      </c>
      <c r="N20" s="12">
        <f>IFERROR(SUM($G20:$I20)/$L20,"N/A")</f>
        <v/>
      </c>
      <c r="O20" s="12">
        <f>IFERROR(SUM($H20:$I20)/$L20,"N/A")</f>
        <v/>
      </c>
      <c r="P20" s="12">
        <f>IFERROR($I20/$L20,"N/A")</f>
        <v/>
      </c>
      <c r="Q20" s="12">
        <f>IFERROR($J20/$K20,"N/A")</f>
        <v/>
      </c>
    </row>
    <row r="21" outlineLevel="1">
      <c r="B21" s="39" t="inlineStr">
        <is>
          <t>2021-3</t>
        </is>
      </c>
      <c r="C21" s="26">
        <f>COUNTIFS('Term Loan'!$K:$K,'Term Summary'!$B$7,'Term Loan'!$L:$L,'Term Summary'!$B21)</f>
        <v/>
      </c>
      <c r="D21" s="26">
        <f>COUNTIFS('Term Asset'!$E:$E,'Term Summary'!$B$7,'Term Asset'!$F:$F,'Term Summary'!$B21)</f>
        <v/>
      </c>
      <c r="E21" s="26">
        <f>SUMIFS('Term Loan'!$P:$P,'Term Loan'!$K:$K,'Term Summary'!$B$7,'Term Loan'!$L:$L,'Term Summary'!$B21,'Term Loan'!$V:$V,'Term Summary'!E$5)</f>
        <v/>
      </c>
      <c r="F21" s="26">
        <f>SUMIFS('Term Loan'!$P:$P,'Term Loan'!$K:$K,'Term Summary'!$B$7,'Term Loan'!$L:$L,'Term Summary'!$B21,'Term Loan'!$V:$V,'Term Summary'!F$5)</f>
        <v/>
      </c>
      <c r="G21" s="26">
        <f>SUMIFS('Term Loan'!$P:$P,'Term Loan'!$K:$K,'Term Summary'!$B$7,'Term Loan'!$L:$L,'Term Summary'!$B21,'Term Loan'!$V:$V,'Term Summary'!G$5)</f>
        <v/>
      </c>
      <c r="H21" s="26">
        <f>SUMIFS('Term Loan'!$P:$P,'Term Loan'!$K:$K,'Term Summary'!$B$7,'Term Loan'!$L:$L,'Term Summary'!$B21,'Term Loan'!$V:$V,'Term Summary'!H$5)</f>
        <v/>
      </c>
      <c r="I21" s="26">
        <f>SUMIFS('Term Loan'!$P:$P,'Term Loan'!$K:$K,'Term Summary'!$B$7,'Term Loan'!$L:$L,'Term Summary'!$B21,'Term Loan'!$V:$V,'Term Summary'!I$5)</f>
        <v/>
      </c>
      <c r="J21" s="26">
        <f>SUMIFS('Term Loan'!$P:$P,'Term Loan'!$K:$K,'Term Summary'!$B$7,'Term Loan'!$L:$L,'Term Summary'!$B21,'Term Loan'!$V:$V,'Term Summary'!J$5)</f>
        <v/>
      </c>
      <c r="K21" s="44">
        <f>SUM($E21:$J21)</f>
        <v/>
      </c>
      <c r="L21" s="26">
        <f>+$K21-$J21</f>
        <v/>
      </c>
      <c r="N21" s="12">
        <f>IFERROR(SUM($G21:$I21)/$L21,"N/A")</f>
        <v/>
      </c>
      <c r="O21" s="12">
        <f>IFERROR(SUM($H21:$I21)/$L21,"N/A")</f>
        <v/>
      </c>
      <c r="P21" s="12">
        <f>IFERROR($I21/$L21,"N/A")</f>
        <v/>
      </c>
      <c r="Q21" s="12">
        <f>IFERROR($J21/$K21,"N/A")</f>
        <v/>
      </c>
    </row>
    <row r="22" outlineLevel="1">
      <c r="B22" s="39" t="inlineStr">
        <is>
          <t>2022-1</t>
        </is>
      </c>
      <c r="C22" s="26">
        <f>COUNTIFS('Term Loan'!$K:$K,'Term Summary'!$B$7,'Term Loan'!$L:$L,'Term Summary'!$B22)</f>
        <v/>
      </c>
      <c r="D22" s="26">
        <f>COUNTIFS('Term Asset'!$E:$E,'Term Summary'!$B$7,'Term Asset'!$F:$F,'Term Summary'!$B22)</f>
        <v/>
      </c>
      <c r="E22" s="26">
        <f>SUMIFS('Term Loan'!$P:$P,'Term Loan'!$K:$K,'Term Summary'!$B$7,'Term Loan'!$L:$L,'Term Summary'!$B22,'Term Loan'!$V:$V,'Term Summary'!E$5)</f>
        <v/>
      </c>
      <c r="F22" s="26">
        <f>SUMIFS('Term Loan'!$P:$P,'Term Loan'!$K:$K,'Term Summary'!$B$7,'Term Loan'!$L:$L,'Term Summary'!$B22,'Term Loan'!$V:$V,'Term Summary'!F$5)</f>
        <v/>
      </c>
      <c r="G22" s="26">
        <f>SUMIFS('Term Loan'!$P:$P,'Term Loan'!$K:$K,'Term Summary'!$B$7,'Term Loan'!$L:$L,'Term Summary'!$B22,'Term Loan'!$V:$V,'Term Summary'!G$5)</f>
        <v/>
      </c>
      <c r="H22" s="26">
        <f>SUMIFS('Term Loan'!$P:$P,'Term Loan'!$K:$K,'Term Summary'!$B$7,'Term Loan'!$L:$L,'Term Summary'!$B22,'Term Loan'!$V:$V,'Term Summary'!H$5)</f>
        <v/>
      </c>
      <c r="I22" s="26">
        <f>SUMIFS('Term Loan'!$P:$P,'Term Loan'!$K:$K,'Term Summary'!$B$7,'Term Loan'!$L:$L,'Term Summary'!$B22,'Term Loan'!$V:$V,'Term Summary'!I$5)</f>
        <v/>
      </c>
      <c r="J22" s="26">
        <f>SUMIFS('Term Loan'!$P:$P,'Term Loan'!$K:$K,'Term Summary'!$B$7,'Term Loan'!$L:$L,'Term Summary'!$B22,'Term Loan'!$V:$V,'Term Summary'!J$5)</f>
        <v/>
      </c>
      <c r="K22" s="44">
        <f>SUM($E22:$J22)</f>
        <v/>
      </c>
      <c r="L22" s="26">
        <f>+$K22-$J22</f>
        <v/>
      </c>
      <c r="N22" s="12">
        <f>IFERROR(SUM($G22:$I22)/$L22,"N/A")</f>
        <v/>
      </c>
      <c r="O22" s="12">
        <f>IFERROR(SUM($H22:$I22)/$L22,"N/A")</f>
        <v/>
      </c>
      <c r="P22" s="12">
        <f>IFERROR($I22/$L22,"N/A")</f>
        <v/>
      </c>
      <c r="Q22" s="12">
        <f>IFERROR($J22/$K22,"N/A")</f>
        <v/>
      </c>
    </row>
    <row r="23" outlineLevel="1">
      <c r="B23" s="39" t="inlineStr">
        <is>
          <t>2022-P2</t>
        </is>
      </c>
      <c r="C23" s="26">
        <f>COUNTIFS('Term Loan'!$K:$K,'Term Summary'!$B$7,'Term Loan'!$L:$L,'Term Summary'!$B23)</f>
        <v/>
      </c>
      <c r="D23" s="26">
        <f>COUNTIFS('Term Asset'!$E:$E,'Term Summary'!$B$7,'Term Asset'!$F:$F,'Term Summary'!$B23)</f>
        <v/>
      </c>
      <c r="E23" s="26">
        <f>SUMIFS('Term Loan'!$P:$P,'Term Loan'!$K:$K,'Term Summary'!$B$7,'Term Loan'!$L:$L,'Term Summary'!$B23,'Term Loan'!$V:$V,'Term Summary'!E$5)</f>
        <v/>
      </c>
      <c r="F23" s="26">
        <f>SUMIFS('Term Loan'!$P:$P,'Term Loan'!$K:$K,'Term Summary'!$B$7,'Term Loan'!$L:$L,'Term Summary'!$B23,'Term Loan'!$V:$V,'Term Summary'!F$5)</f>
        <v/>
      </c>
      <c r="G23" s="26">
        <f>SUMIFS('Term Loan'!$P:$P,'Term Loan'!$K:$K,'Term Summary'!$B$7,'Term Loan'!$L:$L,'Term Summary'!$B23,'Term Loan'!$V:$V,'Term Summary'!G$5)</f>
        <v/>
      </c>
      <c r="H23" s="26">
        <f>SUMIFS('Term Loan'!$P:$P,'Term Loan'!$K:$K,'Term Summary'!$B$7,'Term Loan'!$L:$L,'Term Summary'!$B23,'Term Loan'!$V:$V,'Term Summary'!H$5)</f>
        <v/>
      </c>
      <c r="I23" s="26">
        <f>SUMIFS('Term Loan'!$P:$P,'Term Loan'!$K:$K,'Term Summary'!$B$7,'Term Loan'!$L:$L,'Term Summary'!$B23,'Term Loan'!$V:$V,'Term Summary'!I$5)</f>
        <v/>
      </c>
      <c r="J23" s="26">
        <f>SUMIFS('Term Loan'!$P:$P,'Term Loan'!$K:$K,'Term Summary'!$B$7,'Term Loan'!$L:$L,'Term Summary'!$B23,'Term Loan'!$V:$V,'Term Summary'!J$5)</f>
        <v/>
      </c>
      <c r="K23" s="44">
        <f>SUM($E23:$J23)</f>
        <v/>
      </c>
      <c r="L23" s="26">
        <f>+$K23-$J23</f>
        <v/>
      </c>
      <c r="N23" s="12">
        <f>IFERROR(SUM($G23:$I23)/$L23,"N/A")</f>
        <v/>
      </c>
      <c r="O23" s="12">
        <f>IFERROR(SUM($H23:$I23)/$L23,"N/A")</f>
        <v/>
      </c>
      <c r="P23" s="12">
        <f>IFERROR($I23/$L23,"N/A")</f>
        <v/>
      </c>
      <c r="Q23" s="12">
        <f>IFERROR($J23/$K23,"N/A")</f>
        <v/>
      </c>
    </row>
    <row r="24" outlineLevel="1">
      <c r="B24" s="39" t="inlineStr">
        <is>
          <t>2023-P1</t>
        </is>
      </c>
      <c r="C24" s="26">
        <f>COUNTIFS('Term Loan'!$K:$K,'Term Summary'!$B$7,'Term Loan'!$L:$L,'Term Summary'!$B24)</f>
        <v/>
      </c>
      <c r="D24" s="26">
        <f>COUNTIFS('Term Asset'!$E:$E,'Term Summary'!$B$7,'Term Asset'!$F:$F,'Term Summary'!$B24)</f>
        <v/>
      </c>
      <c r="E24" s="26">
        <f>SUMIFS('Term Loan'!$P:$P,'Term Loan'!$K:$K,'Term Summary'!$B$7,'Term Loan'!$L:$L,'Term Summary'!$B24,'Term Loan'!$V:$V,'Term Summary'!E$5)</f>
        <v/>
      </c>
      <c r="F24" s="26">
        <f>SUMIFS('Term Loan'!$P:$P,'Term Loan'!$K:$K,'Term Summary'!$B$7,'Term Loan'!$L:$L,'Term Summary'!$B24,'Term Loan'!$V:$V,'Term Summary'!F$5)</f>
        <v/>
      </c>
      <c r="G24" s="26">
        <f>SUMIFS('Term Loan'!$P:$P,'Term Loan'!$K:$K,'Term Summary'!$B$7,'Term Loan'!$L:$L,'Term Summary'!$B24,'Term Loan'!$V:$V,'Term Summary'!G$5)</f>
        <v/>
      </c>
      <c r="H24" s="26">
        <f>SUMIFS('Term Loan'!$P:$P,'Term Loan'!$K:$K,'Term Summary'!$B$7,'Term Loan'!$L:$L,'Term Summary'!$B24,'Term Loan'!$V:$V,'Term Summary'!H$5)</f>
        <v/>
      </c>
      <c r="I24" s="26">
        <f>SUMIFS('Term Loan'!$P:$P,'Term Loan'!$K:$K,'Term Summary'!$B$7,'Term Loan'!$L:$L,'Term Summary'!$B24,'Term Loan'!$V:$V,'Term Summary'!I$5)</f>
        <v/>
      </c>
      <c r="J24" s="26">
        <f>SUMIFS('Term Loan'!$P:$P,'Term Loan'!$K:$K,'Term Summary'!$B$7,'Term Loan'!$L:$L,'Term Summary'!$B24,'Term Loan'!$V:$V,'Term Summary'!J$5)</f>
        <v/>
      </c>
      <c r="K24" s="44">
        <f>SUM($E24:$J24)</f>
        <v/>
      </c>
      <c r="L24" s="26">
        <f>+$K24-$J24</f>
        <v/>
      </c>
      <c r="N24" s="12">
        <f>IFERROR(SUM($G24:$I24)/$L24,"N/A")</f>
        <v/>
      </c>
      <c r="O24" s="12">
        <f>IFERROR(SUM($H24:$I24)/$L24,"N/A")</f>
        <v/>
      </c>
      <c r="P24" s="12">
        <f>IFERROR($I24/$L24,"N/A")</f>
        <v/>
      </c>
      <c r="Q24" s="12">
        <f>IFERROR($J24/$K24,"N/A")</f>
        <v/>
      </c>
    </row>
    <row r="25">
      <c r="B25" s="38" t="inlineStr">
        <is>
          <t>Mortgage Banking</t>
        </is>
      </c>
      <c r="C25" s="37">
        <f>COUNTIFS('Term Loan'!$K:$K,'Term Summary'!$B25)</f>
        <v/>
      </c>
      <c r="D25" s="37">
        <f>COUNTIFS('Term Asset'!$E:$E,'Term Summary'!$B25)</f>
        <v/>
      </c>
      <c r="E25" s="37">
        <f>SUMIFS('Term Loan'!$P:$P,'Term Loan'!$K:$K,'Term Summary'!$B25,'Term Loan'!$V:$V,'Term Summary'!E$5)</f>
        <v/>
      </c>
      <c r="F25" s="37">
        <f>SUMIFS('Term Loan'!$P:$P,'Term Loan'!$K:$K,'Term Summary'!$B25,'Term Loan'!$V:$V,'Term Summary'!F$5)</f>
        <v/>
      </c>
      <c r="G25" s="37">
        <f>SUMIFS('Term Loan'!$P:$P,'Term Loan'!$K:$K,'Term Summary'!$B25,'Term Loan'!$V:$V,'Term Summary'!G$5)</f>
        <v/>
      </c>
      <c r="H25" s="37">
        <f>SUMIFS('Term Loan'!$P:$P,'Term Loan'!$K:$K,'Term Summary'!$B25,'Term Loan'!$V:$V,'Term Summary'!H$5)</f>
        <v/>
      </c>
      <c r="I25" s="37">
        <f>SUMIFS('Term Loan'!$P:$P,'Term Loan'!$K:$K,'Term Summary'!$B25,'Term Loan'!$V:$V,'Term Summary'!I$5)</f>
        <v/>
      </c>
      <c r="J25" s="37">
        <f>SUMIFS('Term Loan'!$P:$P,'Term Loan'!$K:$K,'Term Summary'!$B25,'Term Loan'!$V:$V,'Term Summary'!J$5)</f>
        <v/>
      </c>
      <c r="K25" s="43">
        <f>SUM($E25:$J25)</f>
        <v/>
      </c>
      <c r="L25" s="37">
        <f>+$K25-$J25</f>
        <v/>
      </c>
      <c r="N25" s="12">
        <f>IFERROR(SUM($G25:$I25)/$L25,"N/A")</f>
        <v/>
      </c>
      <c r="O25" s="12">
        <f>IFERROR(SUM($H25:$I25)/$L25,"N/A")</f>
        <v/>
      </c>
      <c r="P25" s="12">
        <f>IFERROR($I25/$L25,"N/A")</f>
        <v/>
      </c>
      <c r="Q25" s="12">
        <f>IFERROR($J25/$K25,"N/A")</f>
        <v/>
      </c>
    </row>
    <row r="26">
      <c r="B26" s="38" t="inlineStr">
        <is>
          <t>DSCR</t>
        </is>
      </c>
      <c r="C26" s="37">
        <f>COUNTIFS('Term Loan'!$K:$K,'Term Summary'!$B26)</f>
        <v/>
      </c>
      <c r="D26" s="37">
        <f>COUNTIFS('Term Asset'!$E:$E,'Term Summary'!$B26)</f>
        <v/>
      </c>
      <c r="E26" s="37">
        <f>SUMIFS('Term Loan'!$P:$P,'Term Loan'!$K:$K,'Term Summary'!$B26,'Term Loan'!$V:$V,'Term Summary'!E$5)</f>
        <v/>
      </c>
      <c r="F26" s="37">
        <f>SUMIFS('Term Loan'!$P:$P,'Term Loan'!$K:$K,'Term Summary'!$B26,'Term Loan'!$V:$V,'Term Summary'!F$5)</f>
        <v/>
      </c>
      <c r="G26" s="37">
        <f>SUMIFS('Term Loan'!$P:$P,'Term Loan'!$K:$K,'Term Summary'!$B26,'Term Loan'!$V:$V,'Term Summary'!G$5)</f>
        <v/>
      </c>
      <c r="H26" s="37">
        <f>SUMIFS('Term Loan'!$P:$P,'Term Loan'!$K:$K,'Term Summary'!$B26,'Term Loan'!$V:$V,'Term Summary'!H$5)</f>
        <v/>
      </c>
      <c r="I26" s="37">
        <f>SUMIFS('Term Loan'!$P:$P,'Term Loan'!$K:$K,'Term Summary'!$B26,'Term Loan'!$V:$V,'Term Summary'!I$5)</f>
        <v/>
      </c>
      <c r="J26" s="37">
        <f>SUMIFS('Term Loan'!$P:$P,'Term Loan'!$K:$K,'Term Summary'!$B26,'Term Loan'!$V:$V,'Term Summary'!J$5)</f>
        <v/>
      </c>
      <c r="K26" s="43">
        <f>SUM($E26:$J26)</f>
        <v/>
      </c>
      <c r="L26" s="37">
        <f>+$K26-$J26</f>
        <v/>
      </c>
      <c r="N26" s="12">
        <f>IFERROR(SUM($G26:$I26)/$L26,"N/A")</f>
        <v/>
      </c>
      <c r="O26" s="12">
        <f>IFERROR(SUM($H26:$I26)/$L26,"N/A")</f>
        <v/>
      </c>
      <c r="P26" s="12">
        <f>IFERROR($I26/$L26,"N/A")</f>
        <v/>
      </c>
      <c r="Q26" s="12">
        <f>IFERROR($J26/$K26,"N/A")</f>
        <v/>
      </c>
    </row>
    <row r="27">
      <c r="B27" s="38" t="inlineStr">
        <is>
          <t>CPP JV</t>
        </is>
      </c>
      <c r="C27" s="37">
        <f>COUNTIFS('Term Loan'!$K:$K,'Term Summary'!$B27)</f>
        <v/>
      </c>
      <c r="D27" s="37">
        <f>COUNTIFS('Term Asset'!$E:$E,'Term Summary'!$B27)</f>
        <v/>
      </c>
      <c r="E27" s="37">
        <f>SUMIFS('Term Loan'!$P:$P,'Term Loan'!$K:$K,'Term Summary'!$B27,'Term Loan'!$V:$V,'Term Summary'!E$5)</f>
        <v/>
      </c>
      <c r="F27" s="37">
        <f>SUMIFS('Term Loan'!$P:$P,'Term Loan'!$K:$K,'Term Summary'!$B27,'Term Loan'!$V:$V,'Term Summary'!F$5)</f>
        <v/>
      </c>
      <c r="G27" s="37">
        <f>SUMIFS('Term Loan'!$P:$P,'Term Loan'!$K:$K,'Term Summary'!$B27,'Term Loan'!$V:$V,'Term Summary'!G$5)</f>
        <v/>
      </c>
      <c r="H27" s="37">
        <f>SUMIFS('Term Loan'!$P:$P,'Term Loan'!$K:$K,'Term Summary'!$B27,'Term Loan'!$V:$V,'Term Summary'!H$5)</f>
        <v/>
      </c>
      <c r="I27" s="37">
        <f>SUMIFS('Term Loan'!$P:$P,'Term Loan'!$K:$K,'Term Summary'!$B27,'Term Loan'!$V:$V,'Term Summary'!I$5)</f>
        <v/>
      </c>
      <c r="J27" s="37">
        <f>SUMIFS('Term Loan'!$P:$P,'Term Loan'!$K:$K,'Term Summary'!$B27,'Term Loan'!$V:$V,'Term Summary'!J$5)</f>
        <v/>
      </c>
      <c r="K27" s="43">
        <f>SUM($E27:$J27)</f>
        <v/>
      </c>
      <c r="L27" s="37">
        <f>+$K27-$J27</f>
        <v/>
      </c>
      <c r="N27" s="12">
        <f>IFERROR(SUM($G27:$I27)/$L27,"N/A")</f>
        <v/>
      </c>
      <c r="O27" s="12">
        <f>IFERROR(SUM($H27:$I27)/$L27,"N/A")</f>
        <v/>
      </c>
      <c r="P27" s="12">
        <f>IFERROR($I27/$L27,"N/A")</f>
        <v/>
      </c>
      <c r="Q27" s="12">
        <f>IFERROR($J27/$K27,"N/A")</f>
        <v/>
      </c>
    </row>
    <row r="28">
      <c r="B28" s="38" t="inlineStr">
        <is>
          <t>Apollo</t>
        </is>
      </c>
      <c r="C28" s="37">
        <f>COUNTIFS('Term Loan'!$K:$K,'Term Summary'!$B28)</f>
        <v/>
      </c>
      <c r="D28" s="37">
        <f>COUNTIFS('Term Asset'!$E:$E,'Term Summary'!$B28)</f>
        <v/>
      </c>
      <c r="E28" s="37">
        <f>SUMIFS('Term Loan'!$P:$P,'Term Loan'!$K:$K,'Term Summary'!$B28,'Term Loan'!$V:$V,'Term Summary'!E$5)</f>
        <v/>
      </c>
      <c r="F28" s="37">
        <f>SUMIFS('Term Loan'!$P:$P,'Term Loan'!$K:$K,'Term Summary'!$B28,'Term Loan'!$V:$V,'Term Summary'!F$5)</f>
        <v/>
      </c>
      <c r="G28" s="37">
        <f>SUMIFS('Term Loan'!$P:$P,'Term Loan'!$K:$K,'Term Summary'!$B28,'Term Loan'!$V:$V,'Term Summary'!G$5)</f>
        <v/>
      </c>
      <c r="H28" s="37">
        <f>SUMIFS('Term Loan'!$P:$P,'Term Loan'!$K:$K,'Term Summary'!$B28,'Term Loan'!$V:$V,'Term Summary'!H$5)</f>
        <v/>
      </c>
      <c r="I28" s="37">
        <f>SUMIFS('Term Loan'!$P:$P,'Term Loan'!$K:$K,'Term Summary'!$B28,'Term Loan'!$V:$V,'Term Summary'!I$5)</f>
        <v/>
      </c>
      <c r="J28" s="37">
        <f>SUMIFS('Term Loan'!$P:$P,'Term Loan'!$K:$K,'Term Summary'!$B28,'Term Loan'!$V:$V,'Term Summary'!J$5)</f>
        <v/>
      </c>
      <c r="K28" s="43">
        <f>SUM($E28:$J28)</f>
        <v/>
      </c>
      <c r="L28" s="37">
        <f>+$K28-$J28</f>
        <v/>
      </c>
      <c r="N28" s="12">
        <f>IFERROR(SUM($G28:$I28)/$L28,"N/A")</f>
        <v/>
      </c>
      <c r="O28" s="12">
        <f>IFERROR(SUM($H28:$I28)/$L28,"N/A")</f>
        <v/>
      </c>
      <c r="P28" s="12">
        <f>IFERROR($I28/$L28,"N/A")</f>
        <v/>
      </c>
      <c r="Q28" s="12">
        <f>IFERROR($J28/$K28,"N/A")</f>
        <v/>
      </c>
    </row>
    <row r="29">
      <c r="B29" s="38" t="inlineStr">
        <is>
          <t>Blackstone</t>
        </is>
      </c>
      <c r="C29" s="37">
        <f>COUNTIFS('Term Loan'!$K:$K,'Term Summary'!$B29)</f>
        <v/>
      </c>
      <c r="D29" s="37">
        <f>COUNTIFS('Term Asset'!$E:$E,'Term Summary'!$B29)</f>
        <v/>
      </c>
      <c r="E29" s="37">
        <f>SUMIFS('Term Loan'!$P:$P,'Term Loan'!$K:$K,'Term Summary'!$B29,'Term Loan'!$V:$V,'Term Summary'!E$5)</f>
        <v/>
      </c>
      <c r="F29" s="37">
        <f>SUMIFS('Term Loan'!$P:$P,'Term Loan'!$K:$K,'Term Summary'!$B29,'Term Loan'!$V:$V,'Term Summary'!F$5)</f>
        <v/>
      </c>
      <c r="G29" s="37">
        <f>SUMIFS('Term Loan'!$P:$P,'Term Loan'!$K:$K,'Term Summary'!$B29,'Term Loan'!$V:$V,'Term Summary'!G$5)</f>
        <v/>
      </c>
      <c r="H29" s="37">
        <f>SUMIFS('Term Loan'!$P:$P,'Term Loan'!$K:$K,'Term Summary'!$B29,'Term Loan'!$V:$V,'Term Summary'!H$5)</f>
        <v/>
      </c>
      <c r="I29" s="37">
        <f>SUMIFS('Term Loan'!$P:$P,'Term Loan'!$K:$K,'Term Summary'!$B29,'Term Loan'!$V:$V,'Term Summary'!I$5)</f>
        <v/>
      </c>
      <c r="J29" s="37">
        <f>SUMIFS('Term Loan'!$P:$P,'Term Loan'!$K:$K,'Term Summary'!$B29,'Term Loan'!$V:$V,'Term Summary'!J$5)</f>
        <v/>
      </c>
      <c r="K29" s="43">
        <f>SUM($E29:$J29)</f>
        <v/>
      </c>
      <c r="L29" s="37">
        <f>+$K29-$J29</f>
        <v/>
      </c>
      <c r="N29" s="12">
        <f>IFERROR(SUM($G29:$I29)/$L29,"N/A")</f>
        <v/>
      </c>
      <c r="O29" s="12">
        <f>IFERROR(SUM($H29:$I29)/$L29,"N/A")</f>
        <v/>
      </c>
      <c r="P29" s="12">
        <f>IFERROR($I29/$L29,"N/A")</f>
        <v/>
      </c>
      <c r="Q29" s="12">
        <f>IFERROR($J29/$K29,"N/A")</f>
        <v/>
      </c>
    </row>
    <row r="30">
      <c r="B30" s="45" t="inlineStr">
        <is>
          <t>Total Term</t>
        </is>
      </c>
      <c r="C30" s="46">
        <f>SUM(C$6:C$29)-SUM(C$8:C$24)</f>
        <v/>
      </c>
      <c r="D30" s="46">
        <f>SUM(D$6:D$29)-SUM(D$8:D$24)</f>
        <v/>
      </c>
      <c r="E30" s="46">
        <f>SUM(E$6:E$29)-SUM(E$8:E$24)</f>
        <v/>
      </c>
      <c r="F30" s="46">
        <f>SUM(F$6:F$29)-SUM(F$8:F$24)</f>
        <v/>
      </c>
      <c r="G30" s="46">
        <f>SUM(G$6:G$29)-SUM(G$8:G$24)</f>
        <v/>
      </c>
      <c r="H30" s="46">
        <f>SUM(H$6:H$29)-SUM(H$8:H$24)</f>
        <v/>
      </c>
      <c r="I30" s="46">
        <f>SUM(I$6:I$29)-SUM(I$8:I$24)</f>
        <v/>
      </c>
      <c r="J30" s="46">
        <f>SUM(J$6:J$29)-SUM(J$8:J$24)</f>
        <v/>
      </c>
      <c r="K30" s="47">
        <f>SUM(K$6:K$29)-SUM(K$8:K$24)</f>
        <v/>
      </c>
      <c r="L30" s="48">
        <f>SUM(L$6:L$29)-SUM(L$8:L$24)</f>
        <v/>
      </c>
      <c r="N30" s="13">
        <f>IFERROR(SUM($G30:$I30)/$L30,"N/A")</f>
        <v/>
      </c>
      <c r="O30" s="14">
        <f>IFERROR(SUM($H30:$I30)/$L30,"N/A")</f>
        <v/>
      </c>
      <c r="P30" s="14">
        <f>IFERROR($I30/$L30,"N/A")</f>
        <v/>
      </c>
      <c r="Q30" s="15">
        <f>IFERROR($J30/$K30,"N/A")</f>
        <v/>
      </c>
    </row>
    <row r="31">
      <c r="B31" s="52" t="inlineStr">
        <is>
          <t>Total Term (Ex. Sold)</t>
        </is>
      </c>
      <c r="C31" s="18">
        <f>+C$30-SUM(C$28:C$29)</f>
        <v/>
      </c>
      <c r="D31" s="18">
        <f>+D$30-SUM(D$28:D$29)</f>
        <v/>
      </c>
      <c r="E31" s="18">
        <f>+E$30-SUM(E$28:E$29)</f>
        <v/>
      </c>
      <c r="F31" s="18">
        <f>+F$30-SUM(F$28:F$29)</f>
        <v/>
      </c>
      <c r="G31" s="18">
        <f>+G$30-SUM(G$28:G$29)</f>
        <v/>
      </c>
      <c r="H31" s="18">
        <f>+H$30-SUM(H$28:H$29)</f>
        <v/>
      </c>
      <c r="I31" s="18">
        <f>+I$30-SUM(I$28:I$29)</f>
        <v/>
      </c>
      <c r="J31" s="18">
        <f>+J$30-SUM(J$28:J$29)</f>
        <v/>
      </c>
      <c r="K31" s="21">
        <f>+K$30-SUM(K$28:K$29)</f>
        <v/>
      </c>
      <c r="L31" s="53">
        <f>+L$30-SUM(L$28:L$29)</f>
        <v/>
      </c>
      <c r="N31" s="56">
        <f>IFERROR(SUM($G31:$I31)/$L31,"N/A")</f>
        <v/>
      </c>
      <c r="O31" s="17">
        <f>IFERROR(SUM($H31:$I31)/$L31,"N/A")</f>
        <v/>
      </c>
      <c r="P31" s="17">
        <f>IFERROR($I31/$L31,"N/A")</f>
        <v/>
      </c>
      <c r="Q31" s="57">
        <f>IFERROR($J31/$K31,"N/A")</f>
        <v/>
      </c>
    </row>
    <row r="33">
      <c r="B33" s="51" t="inlineStr">
        <is>
          <t>Legacy Term</t>
        </is>
      </c>
      <c r="C33" s="20">
        <f>+C$6</f>
        <v/>
      </c>
      <c r="D33" s="20">
        <f>+D$6</f>
        <v/>
      </c>
      <c r="E33" s="20">
        <f>+E$6</f>
        <v/>
      </c>
      <c r="F33" s="20">
        <f>+F$6</f>
        <v/>
      </c>
      <c r="G33" s="20">
        <f>+G$6</f>
        <v/>
      </c>
      <c r="H33" s="20">
        <f>+H$6</f>
        <v/>
      </c>
      <c r="I33" s="20">
        <f>+I$6</f>
        <v/>
      </c>
      <c r="J33" s="20">
        <f>+J$6</f>
        <v/>
      </c>
      <c r="K33" s="19">
        <f>+K$6</f>
        <v/>
      </c>
      <c r="L33" s="20">
        <f>+L$6</f>
        <v/>
      </c>
      <c r="N33" s="16">
        <f>IFERROR(SUM($G33:$I33)/$L33,"N/A")</f>
        <v/>
      </c>
      <c r="O33" s="16">
        <f>IFERROR(SUM($H33:$I33)/$L33,"N/A")</f>
        <v/>
      </c>
      <c r="P33" s="16">
        <f>IFERROR($I33/$L33,"N/A")</f>
        <v/>
      </c>
      <c r="Q33" s="16">
        <f>IFERROR($J33/$K33,"N/A")</f>
        <v/>
      </c>
    </row>
    <row r="34">
      <c r="B34" s="38" t="inlineStr">
        <is>
          <t>Non-Legacy Term</t>
        </is>
      </c>
      <c r="C34" s="37">
        <f>+C$25+C$26</f>
        <v/>
      </c>
      <c r="D34" s="37">
        <f>+D$25+D$26</f>
        <v/>
      </c>
      <c r="E34" s="37">
        <f>+E$25+E$26</f>
        <v/>
      </c>
      <c r="F34" s="37">
        <f>+F$25+F$26</f>
        <v/>
      </c>
      <c r="G34" s="37">
        <f>+G$25+G$26</f>
        <v/>
      </c>
      <c r="H34" s="37">
        <f>+H$25+H$26</f>
        <v/>
      </c>
      <c r="I34" s="37">
        <f>+I$25+I$26</f>
        <v/>
      </c>
      <c r="J34" s="37">
        <f>+J$25+J$26</f>
        <v/>
      </c>
      <c r="K34" s="43">
        <f>+K$25+K$26</f>
        <v/>
      </c>
      <c r="L34" s="37">
        <f>+L$25+L$26</f>
        <v/>
      </c>
      <c r="N34" s="12">
        <f>IFERROR(SUM($G34:$I34)/$L34,"N/A")</f>
        <v/>
      </c>
      <c r="O34" s="12">
        <f>IFERROR(SUM($H34:$I34)/$L34,"N/A")</f>
        <v/>
      </c>
      <c r="P34" s="12">
        <f>IFERROR($I34/$L34,"N/A")</f>
        <v/>
      </c>
      <c r="Q34" s="12">
        <f>IFERROR($J34/$K34,"N/A")</f>
        <v/>
      </c>
    </row>
    <row r="35">
      <c r="B35" s="45" t="inlineStr">
        <is>
          <t>Balance Sheet Term</t>
        </is>
      </c>
      <c r="C35" s="46">
        <f>SUM(C$33:C$34)</f>
        <v/>
      </c>
      <c r="D35" s="46">
        <f>SUM(D$33:D$34)</f>
        <v/>
      </c>
      <c r="E35" s="46">
        <f>SUM(E$33:E$34)</f>
        <v/>
      </c>
      <c r="F35" s="46">
        <f>SUM(F$33:F$34)</f>
        <v/>
      </c>
      <c r="G35" s="46">
        <f>SUM(G$33:G$34)</f>
        <v/>
      </c>
      <c r="H35" s="46">
        <f>SUM(H$33:H$34)</f>
        <v/>
      </c>
      <c r="I35" s="46">
        <f>SUM(I$33:I$34)</f>
        <v/>
      </c>
      <c r="J35" s="46">
        <f>SUM(J$33:J$34)</f>
        <v/>
      </c>
      <c r="K35" s="47">
        <f>SUM(K$33:K$34)</f>
        <v/>
      </c>
      <c r="L35" s="48">
        <f>SUM(L$33:L$34)</f>
        <v/>
      </c>
      <c r="N35" s="13">
        <f>IFERROR(SUM($G35:$I35)/$L35,"N/A")</f>
        <v/>
      </c>
      <c r="O35" s="14">
        <f>IFERROR(SUM($H35:$I35)/$L35,"N/A")</f>
        <v/>
      </c>
      <c r="P35" s="14">
        <f>IFERROR($I35/$L35,"N/A")</f>
        <v/>
      </c>
      <c r="Q35" s="15">
        <f>IFERROR($J35/$K35,"N/A")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BH6"/>
  <sheetViews>
    <sheetView showGridLines="0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4.26953125" customWidth="1" min="1" max="1"/>
    <col width="13.7265625" bestFit="1" customWidth="1" min="2" max="2"/>
    <col width="20.26953125" bestFit="1" customWidth="1" min="3" max="3"/>
    <col width="40.7265625" bestFit="1" customWidth="1" min="4" max="4"/>
    <col width="17.453125" bestFit="1" customWidth="1" min="5" max="5"/>
    <col width="15.453125" bestFit="1" customWidth="1" min="6" max="6"/>
    <col width="18.7265625" bestFit="1" customWidth="1" min="7" max="7"/>
    <col width="61.1796875" bestFit="1" customWidth="1" min="8" max="8"/>
    <col width="75.54296875" bestFit="1" customWidth="1" min="9" max="9"/>
    <col width="78" bestFit="1" customWidth="1" min="10" max="10"/>
    <col width="22.1796875" bestFit="1" customWidth="1" min="11" max="11"/>
    <col width="32.1796875" bestFit="1" customWidth="1" min="12" max="12"/>
    <col width="21.81640625" bestFit="1" customWidth="1" min="13" max="13"/>
    <col width="14.26953125" bestFit="1" customWidth="1" min="14" max="14"/>
    <col width="13.26953125" bestFit="1" customWidth="1" min="15" max="15"/>
    <col width="20.453125" bestFit="1" customWidth="1" min="16" max="16"/>
    <col width="21.81640625" bestFit="1" customWidth="1" min="17" max="17"/>
    <col width="25.453125" bestFit="1" customWidth="1" min="18" max="19"/>
    <col width="31" bestFit="1" customWidth="1" min="20" max="20"/>
    <col width="23.1796875" bestFit="1" customWidth="1" min="21" max="21"/>
    <col width="18.81640625" bestFit="1" customWidth="1" min="22" max="22"/>
    <col width="27.453125" bestFit="1" customWidth="1" min="23" max="23"/>
    <col width="22.54296875" bestFit="1" customWidth="1" min="24" max="24"/>
    <col width="26.1796875" bestFit="1" customWidth="1" min="25" max="25"/>
    <col width="19" customWidth="1" min="26" max="26"/>
    <col width="22.1796875" bestFit="1" customWidth="1" min="27" max="27"/>
    <col width="28" bestFit="1" customWidth="1" min="28" max="28"/>
    <col width="31" bestFit="1" customWidth="1" min="29" max="29"/>
    <col width="27.54296875" bestFit="1" customWidth="1" min="30" max="30"/>
    <col width="21" bestFit="1" customWidth="1" min="31" max="31"/>
    <col width="31.7265625" bestFit="1" customWidth="1" min="32" max="32"/>
    <col width="25" bestFit="1" customWidth="1" min="33" max="33"/>
    <col width="26.453125" bestFit="1" customWidth="1" min="34" max="34"/>
    <col width="29.26953125" bestFit="1" customWidth="1" min="35" max="35"/>
    <col width="22.453125" bestFit="1" customWidth="1" min="36" max="36"/>
    <col width="29.7265625" bestFit="1" customWidth="1" min="37" max="37"/>
    <col width="15.54296875" bestFit="1" customWidth="1" min="38" max="38"/>
    <col width="21.7265625" bestFit="1" customWidth="1" min="39" max="39"/>
    <col width="25.26953125" customWidth="1" min="40" max="40"/>
    <col width="21.453125" bestFit="1" customWidth="1" min="41" max="41"/>
    <col width="21.26953125" bestFit="1" customWidth="1" min="42" max="42"/>
    <col width="26.26953125" bestFit="1" customWidth="1" min="43" max="43"/>
    <col width="33.54296875" bestFit="1" customWidth="1" min="44" max="44"/>
    <col width="22" bestFit="1" customWidth="1" min="45" max="45"/>
    <col width="19.1796875" bestFit="1" customWidth="1" min="46" max="46"/>
    <col width="14.7265625" bestFit="1" customWidth="1" min="47" max="47"/>
    <col width="38.453125" bestFit="1" customWidth="1" min="48" max="48"/>
    <col width="73.453125" bestFit="1" customWidth="1" min="49" max="49"/>
    <col width="27.54296875" bestFit="1" customWidth="1" min="50" max="50"/>
    <col width="15.1796875" bestFit="1" customWidth="1" min="51" max="51"/>
    <col width="20.1796875" bestFit="1" customWidth="1" min="52" max="52"/>
    <col width="23.26953125" bestFit="1" customWidth="1" min="53" max="53"/>
    <col width="23.1796875" bestFit="1" customWidth="1" min="54" max="54"/>
    <col width="23.26953125" bestFit="1" customWidth="1" min="55" max="55"/>
    <col width="20.453125" bestFit="1" customWidth="1" min="56" max="56"/>
    <col width="23.26953125" bestFit="1" customWidth="1" min="57" max="57"/>
    <col width="22" bestFit="1" customWidth="1" min="58" max="58"/>
    <col width="22.1796875" bestFit="1" customWidth="1" min="59" max="59"/>
    <col width="75.7265625" customWidth="1" min="60" max="60"/>
  </cols>
  <sheetData>
    <row r="1">
      <c r="V1" s="10" t="inlineStr">
        <is>
          <t>CALC</t>
        </is>
      </c>
    </row>
    <row r="2" ht="15" customHeight="1">
      <c r="B2" s="59" t="inlineStr">
        <is>
          <t>Bridge Loan Level Data</t>
        </is>
      </c>
    </row>
    <row r="3" ht="15" customHeight="1"/>
    <row r="4" ht="15" customHeight="1">
      <c r="V4" s="36">
        <f>+'Bridge Asset'!$CP$4</f>
        <v/>
      </c>
      <c r="Z4" s="37">
        <f>SUBTOTAL(9,Z6:Z1060)</f>
        <v/>
      </c>
    </row>
    <row r="5" ht="45" customHeight="1">
      <c r="B5" s="27" t="inlineStr">
        <is>
          <t>Portfolio</t>
        </is>
      </c>
      <c r="C5" s="27" t="inlineStr">
        <is>
          <t>Loan Buyer</t>
        </is>
      </c>
      <c r="D5" s="27" t="inlineStr">
        <is>
          <t>Financing</t>
        </is>
      </c>
      <c r="E5" s="27" t="inlineStr">
        <is>
          <t>Deal Number</t>
        </is>
      </c>
      <c r="F5" s="27" t="inlineStr">
        <is>
          <t>Servicer ID</t>
        </is>
      </c>
      <c r="G5" s="27" t="inlineStr">
        <is>
          <t>Servicer</t>
        </is>
      </c>
      <c r="H5" s="27" t="inlineStr">
        <is>
          <t>Deal Name</t>
        </is>
      </c>
      <c r="I5" s="27" t="inlineStr">
        <is>
          <t>Borrower Name</t>
        </is>
      </c>
      <c r="J5" s="27" t="inlineStr">
        <is>
          <t xml:space="preserve">Account </t>
        </is>
      </c>
      <c r="K5" s="27" t="inlineStr">
        <is>
          <t>Do Not Lend (Y/N)</t>
        </is>
      </c>
      <c r="L5" s="27" t="inlineStr">
        <is>
          <t>Primary Contact</t>
        </is>
      </c>
      <c r="M5" s="27" t="inlineStr">
        <is>
          <t>Number of Assets</t>
        </is>
      </c>
      <c r="N5" s="27" t="inlineStr">
        <is>
          <t># of Units</t>
        </is>
      </c>
      <c r="O5" s="27" t="inlineStr">
        <is>
          <t>State(s)</t>
        </is>
      </c>
      <c r="P5" s="27" t="inlineStr">
        <is>
          <t>Origination Date</t>
        </is>
      </c>
      <c r="Q5" s="27" t="inlineStr">
        <is>
          <t>Last Funding Date</t>
        </is>
      </c>
      <c r="R5" s="27" t="inlineStr">
        <is>
          <t>Original Maturity Date</t>
        </is>
      </c>
      <c r="S5" s="27" t="inlineStr">
        <is>
          <t>Current Maturity Date</t>
        </is>
      </c>
      <c r="T5" s="27" t="inlineStr">
        <is>
          <t>Next Advance Maturity Date</t>
        </is>
      </c>
      <c r="U5" s="27" t="inlineStr">
        <is>
          <t>Next Payment Date</t>
        </is>
      </c>
      <c r="V5" s="27" t="inlineStr">
        <is>
          <t>Days Past Due</t>
        </is>
      </c>
      <c r="W5" s="27" t="inlineStr">
        <is>
          <t>Loan Level Delinquency</t>
        </is>
      </c>
      <c r="X5" s="27" t="inlineStr">
        <is>
          <t>Loan Commitment</t>
        </is>
      </c>
      <c r="Y5" s="27" t="inlineStr">
        <is>
          <t>Active Funded Amount</t>
        </is>
      </c>
      <c r="Z5" s="27">
        <f>+'Bridge Asset'!$AJ$5</f>
        <v/>
      </c>
      <c r="AA5" s="27" t="inlineStr">
        <is>
          <t>Suspense Balance</t>
        </is>
      </c>
      <c r="AB5" s="27" t="inlineStr">
        <is>
          <t>Remaining Commitment</t>
        </is>
      </c>
      <c r="AC5" s="27" t="inlineStr">
        <is>
          <t>Most Recent Valuation Date</t>
        </is>
      </c>
      <c r="AD5" s="27" t="inlineStr">
        <is>
          <t>Most Recent As-Is Value</t>
        </is>
      </c>
      <c r="AE5" s="27" t="inlineStr">
        <is>
          <t>Most Recent ARV</t>
        </is>
      </c>
      <c r="AF5" s="27" t="inlineStr">
        <is>
          <t>Initial Disbursement Funded</t>
        </is>
      </c>
      <c r="AG5" s="27" t="inlineStr">
        <is>
          <t>Renovation Holdback</t>
        </is>
      </c>
      <c r="AH5" s="27" t="inlineStr">
        <is>
          <t>Renovation HB Funded</t>
        </is>
      </c>
      <c r="AI5" s="27" t="inlineStr">
        <is>
          <t>Renovation HB Remaining</t>
        </is>
      </c>
      <c r="AJ5" s="27" t="inlineStr">
        <is>
          <t>Interest Allocation</t>
        </is>
      </c>
      <c r="AK5" s="27" t="inlineStr">
        <is>
          <t>Interest Allocation Funded</t>
        </is>
      </c>
      <c r="AL5" s="27" t="inlineStr">
        <is>
          <t>Loan Stage</t>
        </is>
      </c>
      <c r="AM5" s="27" t="inlineStr">
        <is>
          <t>Segment</t>
        </is>
      </c>
      <c r="AN5" s="27" t="inlineStr">
        <is>
          <t>Loan Type</t>
        </is>
      </c>
      <c r="AO5" s="27" t="inlineStr">
        <is>
          <t>Product Type</t>
        </is>
      </c>
      <c r="AP5" s="27" t="inlineStr">
        <is>
          <t>Product Sub Type</t>
        </is>
      </c>
      <c r="AQ5" s="27" t="inlineStr">
        <is>
          <t>Transaction Type</t>
        </is>
      </c>
      <c r="AR5" s="27" t="inlineStr">
        <is>
          <t>Project Strategy</t>
        </is>
      </c>
      <c r="AS5" s="27" t="inlineStr">
        <is>
          <t>Strategy Grouping</t>
        </is>
      </c>
      <c r="AT5" s="27" t="inlineStr">
        <is>
          <t>CV Originator</t>
        </is>
      </c>
      <c r="AU5" s="27" t="inlineStr">
        <is>
          <t>Active RM</t>
        </is>
      </c>
      <c r="AV5" s="27" t="inlineStr">
        <is>
          <t>Deal Intro Sub-Source</t>
        </is>
      </c>
      <c r="AW5" s="27" t="inlineStr">
        <is>
          <t>Referral Source Account</t>
        </is>
      </c>
      <c r="AX5" s="27" t="inlineStr">
        <is>
          <t>Referral Source Contact</t>
        </is>
      </c>
      <c r="AY5" s="27" t="inlineStr">
        <is>
          <t>6/30 NPL</t>
        </is>
      </c>
      <c r="AZ5" s="27" t="inlineStr">
        <is>
          <t>Needs NPL Value</t>
        </is>
      </c>
      <c r="BA5" s="27" t="inlineStr">
        <is>
          <t>Special Focus (Y/N)</t>
        </is>
      </c>
      <c r="BB5" s="27" t="inlineStr">
        <is>
          <t>Asset Manager 1</t>
        </is>
      </c>
      <c r="BC5" s="27" t="inlineStr">
        <is>
          <t>AM 1 Assigned Date</t>
        </is>
      </c>
      <c r="BD5" s="27" t="inlineStr">
        <is>
          <t>Asset Manager 2</t>
        </is>
      </c>
      <c r="BE5" s="27" t="inlineStr">
        <is>
          <t>AM 2 Assigned Date</t>
        </is>
      </c>
      <c r="BF5" s="27" t="inlineStr">
        <is>
          <t>Construction Mgr.</t>
        </is>
      </c>
      <c r="BG5" s="27" t="inlineStr">
        <is>
          <t>CM Assigned Date</t>
        </is>
      </c>
      <c r="BH5" s="27" t="inlineStr">
        <is>
          <t>AM Commentary</t>
        </is>
      </c>
    </row>
    <row r="6">
      <c r="V6" s="10">
        <f>+$V$4-$U6</f>
        <v/>
      </c>
    </row>
  </sheetData>
  <autoFilter ref="B5:BH106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DF6"/>
  <sheetViews>
    <sheetView showGridLines="0" tabSelected="1" topLeftCell="CS1" zoomScale="85" zoomScaleNormal="85" workbookViewId="0">
      <pane ySplit="5" topLeftCell="A6" activePane="bottomLeft" state="frozen"/>
      <selection pane="bottomLeft" activeCell="DE6" sqref="DE6"/>
    </sheetView>
  </sheetViews>
  <sheetFormatPr baseColWidth="8" defaultRowHeight="14.5"/>
  <cols>
    <col width="4.26953125" customWidth="1" min="1" max="1"/>
    <col width="15.26953125" customWidth="1" min="2" max="2"/>
    <col width="20.26953125" bestFit="1" customWidth="1" min="3" max="3"/>
    <col width="40.7265625" bestFit="1" customWidth="1" min="4" max="4"/>
    <col width="17.453125" bestFit="1" customWidth="1" min="5" max="5"/>
    <col width="15.453125" bestFit="1" customWidth="1" min="6" max="6"/>
    <col width="18.7265625" bestFit="1" customWidth="1" min="7" max="7"/>
    <col width="15.26953125" bestFit="1" customWidth="1" min="8" max="8"/>
    <col width="13.54296875" bestFit="1" customWidth="1" min="9" max="9"/>
    <col width="61.1796875" bestFit="1" customWidth="1" min="10" max="10"/>
    <col width="75.54296875" bestFit="1" customWidth="1" min="11" max="11"/>
    <col width="78" bestFit="1" customWidth="1" min="12" max="12"/>
    <col width="22.1796875" bestFit="1" customWidth="1" min="13" max="13"/>
    <col width="32.1796875" bestFit="1" customWidth="1" min="14" max="14"/>
    <col width="77.26953125" bestFit="1" customWidth="1" min="15" max="15"/>
    <col width="22.453125" bestFit="1" customWidth="1" min="16" max="16"/>
    <col width="10.81640625" bestFit="1" customWidth="1" min="17" max="17"/>
    <col width="13.26953125" bestFit="1" customWidth="1" min="18" max="18"/>
    <col width="19" bestFit="1" customWidth="1" min="19" max="19"/>
    <col width="45.1796875" bestFit="1" customWidth="1" min="20" max="20"/>
    <col width="13.7265625" customWidth="1" min="21" max="21"/>
    <col width="20.1796875" bestFit="1" customWidth="1" min="22" max="22"/>
    <col width="14.26953125" bestFit="1" customWidth="1" min="23" max="23"/>
    <col width="21.453125" bestFit="1" customWidth="1" min="24" max="24"/>
    <col width="16.26953125" bestFit="1" customWidth="1" min="25" max="25"/>
    <col width="20.453125" bestFit="1" customWidth="1" min="26" max="26"/>
    <col width="22.1796875" bestFit="1" customWidth="1" min="27" max="27"/>
    <col width="21.81640625" bestFit="1" customWidth="1" min="28" max="28"/>
    <col width="23.1796875" bestFit="1" customWidth="1" min="29" max="29"/>
    <col width="30.1796875" bestFit="1" customWidth="1" min="30" max="31"/>
    <col width="30.81640625" bestFit="1" customWidth="1" min="32" max="32"/>
    <col width="31.1796875" bestFit="1" customWidth="1" min="33" max="33"/>
    <col width="31.1796875" customWidth="1" min="34" max="34"/>
    <col width="22.54296875" bestFit="1" customWidth="1" min="35" max="35"/>
    <col width="21.54296875" customWidth="1" min="36" max="36"/>
    <col width="22.1796875" bestFit="1" customWidth="1" min="37" max="37"/>
    <col width="23.1796875" bestFit="1" customWidth="1" min="38" max="38"/>
    <col width="23.26953125" bestFit="1" customWidth="1" min="39" max="39"/>
    <col width="20.453125" bestFit="1" customWidth="1" min="40" max="40"/>
    <col width="23.26953125" bestFit="1" customWidth="1" min="41" max="41"/>
    <col width="22" bestFit="1" customWidth="1" min="42" max="42"/>
    <col width="22.1796875" bestFit="1" customWidth="1" min="43" max="43"/>
    <col width="35.1796875" bestFit="1" customWidth="1" min="44" max="44"/>
    <col width="23.1796875" bestFit="1" customWidth="1" min="45" max="45"/>
    <col width="19.26953125" bestFit="1" customWidth="1" min="46" max="46"/>
    <col width="25" bestFit="1" customWidth="1" min="47" max="47"/>
    <col width="24" bestFit="1" customWidth="1" min="48" max="48"/>
    <col width="27.26953125" bestFit="1" customWidth="1" min="49" max="49"/>
    <col width="37.453125" bestFit="1" customWidth="1" min="50" max="50"/>
    <col width="32.26953125" bestFit="1" customWidth="1" min="51" max="51"/>
    <col width="26.81640625" bestFit="1" customWidth="1" min="52" max="52"/>
    <col width="26.81640625" customWidth="1" min="53" max="54"/>
    <col width="14.453125" bestFit="1" customWidth="1" min="55" max="55"/>
    <col width="23.81640625" bestFit="1" customWidth="1" min="56" max="56"/>
    <col width="26.26953125" bestFit="1" customWidth="1" min="57" max="57"/>
    <col width="19.81640625" bestFit="1" customWidth="1" min="58" max="58"/>
    <col width="36.54296875" bestFit="1" customWidth="1" min="59" max="59"/>
    <col width="27.1796875" bestFit="1" customWidth="1" min="60" max="60"/>
    <col width="23.7265625" bestFit="1" customWidth="1" min="61" max="61"/>
    <col width="17.26953125" bestFit="1" customWidth="1" min="62" max="62"/>
    <col width="31.7265625" bestFit="1" customWidth="1" min="63" max="63"/>
    <col width="25" bestFit="1" customWidth="1" min="64" max="64"/>
    <col width="32.453125" bestFit="1" customWidth="1" min="65" max="65"/>
    <col width="35.453125" bestFit="1" customWidth="1" min="66" max="66"/>
    <col width="22.453125" bestFit="1" customWidth="1" min="67" max="67"/>
    <col width="29.7265625" bestFit="1" customWidth="1" min="68" max="68"/>
    <col width="107" bestFit="1" customWidth="1" min="69" max="69"/>
    <col width="17.453125" bestFit="1" customWidth="1" min="70" max="70"/>
    <col width="18.54296875" bestFit="1" customWidth="1" min="71" max="71"/>
    <col width="20.81640625" bestFit="1" customWidth="1" min="72" max="72"/>
    <col width="21.7265625" bestFit="1" customWidth="1" min="73" max="73"/>
    <col width="21.453125" bestFit="1" customWidth="1" min="74" max="74"/>
    <col width="21.54296875" bestFit="1" customWidth="1" min="75" max="75"/>
    <col width="26.26953125" bestFit="1" customWidth="1" min="76" max="76"/>
    <col width="33.54296875" bestFit="1" customWidth="1" min="77" max="77"/>
    <col width="22" bestFit="1" customWidth="1" min="78" max="78"/>
    <col width="18.1796875" bestFit="1" customWidth="1" min="79" max="79"/>
    <col width="19.1796875" bestFit="1" customWidth="1" min="80" max="80"/>
    <col width="14.7265625" bestFit="1" customWidth="1" min="81" max="81"/>
    <col width="38.453125" bestFit="1" customWidth="1" min="82" max="82"/>
    <col width="73.453125" bestFit="1" customWidth="1" min="83" max="83"/>
    <col width="27.54296875" bestFit="1" customWidth="1" min="84" max="84"/>
    <col width="15.54296875" bestFit="1" customWidth="1" min="85" max="85"/>
    <col width="19.54296875" bestFit="1" customWidth="1" min="86" max="86"/>
    <col width="19.26953125" bestFit="1" customWidth="1" min="87" max="87"/>
    <col width="26" bestFit="1" customWidth="1" min="88" max="88"/>
    <col width="9.1796875" customWidth="1" min="89" max="89"/>
    <col width="17.7265625" bestFit="1" customWidth="1" min="90" max="90"/>
    <col width="20.81640625" bestFit="1" customWidth="1" min="91" max="91"/>
    <col width="23.453125" bestFit="1" customWidth="1" min="92" max="92"/>
    <col width="17.81640625" bestFit="1" customWidth="1" min="93" max="93"/>
    <col width="20.26953125" bestFit="1" customWidth="1" min="94" max="94"/>
    <col width="18.81640625" bestFit="1" customWidth="1" min="95" max="95"/>
    <col width="15" bestFit="1" customWidth="1" min="96" max="96"/>
    <col width="31" bestFit="1" customWidth="1" min="97" max="97"/>
    <col width="27.54296875" bestFit="1" customWidth="1" min="98" max="98"/>
    <col width="21" bestFit="1" customWidth="1" min="99" max="99"/>
    <col width="21" customWidth="1" min="100" max="100"/>
    <col width="21" bestFit="1" customWidth="1" min="101" max="101"/>
    <col width="21" customWidth="1" min="102" max="102"/>
    <col width="17.1796875" bestFit="1" customWidth="1" min="103" max="103"/>
    <col width="20.26953125" bestFit="1" customWidth="1" min="104" max="104"/>
    <col width="20.26953125" customWidth="1" min="105" max="105"/>
    <col width="22.453125" bestFit="1" customWidth="1" min="106" max="106"/>
    <col width="22" bestFit="1" customWidth="1" min="107" max="107"/>
    <col width="17.81640625" bestFit="1" customWidth="1" min="108" max="108"/>
    <col width="20" bestFit="1" customWidth="1" min="109" max="109"/>
    <col width="16.453125" bestFit="1" customWidth="1" min="110" max="110"/>
  </cols>
  <sheetData>
    <row r="1" ht="15" customHeight="1">
      <c r="AI1" s="10" t="inlineStr">
        <is>
          <t>CALC</t>
        </is>
      </c>
      <c r="CL1" s="10" t="inlineStr">
        <is>
          <t>CALC</t>
        </is>
      </c>
      <c r="CM1" s="10" t="inlineStr">
        <is>
          <t>CALC</t>
        </is>
      </c>
      <c r="CN1" s="10" t="inlineStr">
        <is>
          <t>CALC</t>
        </is>
      </c>
      <c r="CO1" s="10" t="inlineStr">
        <is>
          <t>CALC</t>
        </is>
      </c>
      <c r="CP1" s="10" t="inlineStr">
        <is>
          <t>CALC</t>
        </is>
      </c>
      <c r="CQ1" s="10" t="inlineStr">
        <is>
          <t>CALC</t>
        </is>
      </c>
      <c r="CR1" s="10" t="inlineStr">
        <is>
          <t>CALC</t>
        </is>
      </c>
      <c r="CS1" s="10" t="inlineStr">
        <is>
          <t>CALC</t>
        </is>
      </c>
      <c r="CT1" s="10" t="inlineStr">
        <is>
          <t>CALC</t>
        </is>
      </c>
      <c r="CU1" s="10" t="inlineStr">
        <is>
          <t>CALC</t>
        </is>
      </c>
      <c r="CV1" s="10" t="inlineStr">
        <is>
          <t>CALC</t>
        </is>
      </c>
      <c r="CW1" s="10" t="inlineStr">
        <is>
          <t>CALC</t>
        </is>
      </c>
      <c r="CX1" s="10" t="inlineStr">
        <is>
          <t>CALC</t>
        </is>
      </c>
      <c r="CY1" s="10" t="inlineStr">
        <is>
          <t>CALC</t>
        </is>
      </c>
      <c r="CZ1" s="10" t="inlineStr">
        <is>
          <t>CALC</t>
        </is>
      </c>
      <c r="DA1" s="10" t="inlineStr">
        <is>
          <t>CALC</t>
        </is>
      </c>
      <c r="DB1" s="10" t="inlineStr">
        <is>
          <t>CALC</t>
        </is>
      </c>
      <c r="DC1" s="10" t="inlineStr">
        <is>
          <t>CALC</t>
        </is>
      </c>
      <c r="DD1" s="10" t="inlineStr">
        <is>
          <t>CALC</t>
        </is>
      </c>
      <c r="DE1" s="10" t="inlineStr">
        <is>
          <t>CALC</t>
        </is>
      </c>
      <c r="DF1" s="10" t="inlineStr">
        <is>
          <t>CALC</t>
        </is>
      </c>
    </row>
    <row r="2" ht="15" customHeight="1">
      <c r="B2" s="59" t="inlineStr">
        <is>
          <t>Bridge Asset Level Data</t>
        </is>
      </c>
      <c r="AI2" s="9" t="n"/>
      <c r="DA2" s="9" t="n"/>
      <c r="DB2" s="9" t="n"/>
      <c r="DC2" s="9" t="n"/>
      <c r="DD2" s="9" t="n"/>
      <c r="DE2" s="9" t="n"/>
      <c r="DF2" s="9" t="n"/>
    </row>
    <row r="3" ht="15" customHeight="1">
      <c r="DE3" s="25" t="n">
        <v>46203</v>
      </c>
    </row>
    <row r="4" ht="15" customHeight="1">
      <c r="AJ4" s="32">
        <f>SUBTOTAL(9,AJ6:AJ4695)</f>
        <v/>
      </c>
      <c r="CP4" s="25" t="n">
        <v>46178</v>
      </c>
      <c r="CQ4" s="25">
        <f>+$CP$4</f>
        <v/>
      </c>
      <c r="CV4" s="25">
        <f>EDATE(DE3,-6)</f>
        <v/>
      </c>
      <c r="DE4" s="25">
        <f>+$DE$3-90</f>
        <v/>
      </c>
    </row>
    <row r="5" ht="45" customHeight="1">
      <c r="B5" s="33" t="inlineStr">
        <is>
          <t>Portfolio</t>
        </is>
      </c>
      <c r="C5" s="33" t="inlineStr">
        <is>
          <t>Loan Buyer</t>
        </is>
      </c>
      <c r="D5" s="33" t="inlineStr">
        <is>
          <t>Financing</t>
        </is>
      </c>
      <c r="E5" s="33" t="inlineStr">
        <is>
          <t>Deal Number</t>
        </is>
      </c>
      <c r="F5" s="33" t="inlineStr">
        <is>
          <t>Servicer ID</t>
        </is>
      </c>
      <c r="G5" s="33" t="inlineStr">
        <is>
          <t>Servicer</t>
        </is>
      </c>
      <c r="H5" s="33" t="inlineStr">
        <is>
          <t>SF Yardi ID</t>
        </is>
      </c>
      <c r="I5" s="33" t="inlineStr">
        <is>
          <t>Asset ID</t>
        </is>
      </c>
      <c r="J5" s="33" t="inlineStr">
        <is>
          <t>Deal Name</t>
        </is>
      </c>
      <c r="K5" s="33" t="inlineStr">
        <is>
          <t>Borrower Entity</t>
        </is>
      </c>
      <c r="L5" s="33" t="inlineStr">
        <is>
          <t>Account Name</t>
        </is>
      </c>
      <c r="M5" s="33" t="inlineStr">
        <is>
          <t>Do Not Lend (Y/N)</t>
        </is>
      </c>
      <c r="N5" s="33" t="inlineStr">
        <is>
          <t>Primary Contact</t>
        </is>
      </c>
      <c r="O5" s="33" t="inlineStr">
        <is>
          <t>Address</t>
        </is>
      </c>
      <c r="P5" s="33" t="inlineStr">
        <is>
          <t>City</t>
        </is>
      </c>
      <c r="Q5" s="33" t="inlineStr">
        <is>
          <t>State</t>
        </is>
      </c>
      <c r="R5" s="33" t="inlineStr">
        <is>
          <t>Zip</t>
        </is>
      </c>
      <c r="S5" s="33" t="inlineStr">
        <is>
          <t>County</t>
        </is>
      </c>
      <c r="T5" s="33" t="inlineStr">
        <is>
          <t>CBSA</t>
        </is>
      </c>
      <c r="U5" s="33" t="inlineStr">
        <is>
          <t>APN</t>
        </is>
      </c>
      <c r="V5" s="33" t="inlineStr">
        <is>
          <t>Additional APNs</t>
        </is>
      </c>
      <c r="W5" s="33" t="inlineStr">
        <is>
          <t># of Units</t>
        </is>
      </c>
      <c r="X5" s="33" t="inlineStr">
        <is>
          <t>Year Built</t>
        </is>
      </c>
      <c r="Y5" s="33" t="inlineStr">
        <is>
          <t>Square Feet</t>
        </is>
      </c>
      <c r="Z5" s="33" t="inlineStr">
        <is>
          <t>Origination Date</t>
        </is>
      </c>
      <c r="AA5" s="33" t="inlineStr">
        <is>
          <t>First Funding Date</t>
        </is>
      </c>
      <c r="AB5" s="33" t="inlineStr">
        <is>
          <t>Last Funding Date</t>
        </is>
      </c>
      <c r="AC5" s="33" t="inlineStr">
        <is>
          <t>Next Payment Date</t>
        </is>
      </c>
      <c r="AD5" s="33" t="inlineStr">
        <is>
          <t>Original Loan Maturity date</t>
        </is>
      </c>
      <c r="AE5" s="33" t="inlineStr">
        <is>
          <t>Current Loan Maturity date</t>
        </is>
      </c>
      <c r="AF5" s="33" t="inlineStr">
        <is>
          <t>Original Asset Maturity date</t>
        </is>
      </c>
      <c r="AG5" s="33" t="inlineStr">
        <is>
          <t>Current Asset Maturity Date</t>
        </is>
      </c>
      <c r="AH5" s="33" t="inlineStr">
        <is>
          <t>Asset Commitment</t>
        </is>
      </c>
      <c r="AI5" s="33" t="inlineStr">
        <is>
          <t>SF Funded Amount</t>
        </is>
      </c>
      <c r="AJ5" s="33" t="inlineStr">
        <is>
          <t>6/5 UPB</t>
        </is>
      </c>
      <c r="AK5" s="33" t="inlineStr">
        <is>
          <t>Suspense Balance</t>
        </is>
      </c>
      <c r="AL5" s="33" t="inlineStr">
        <is>
          <t>Asset Manager 1</t>
        </is>
      </c>
      <c r="AM5" s="33" t="inlineStr">
        <is>
          <t>AM 1 Assigned Date</t>
        </is>
      </c>
      <c r="AN5" s="33" t="inlineStr">
        <is>
          <t>Asset Manager 2</t>
        </is>
      </c>
      <c r="AO5" s="33" t="inlineStr">
        <is>
          <t>AM 2 Assigned Date</t>
        </is>
      </c>
      <c r="AP5" s="33" t="inlineStr">
        <is>
          <t>Construction Mgr.</t>
        </is>
      </c>
      <c r="AQ5" s="33" t="inlineStr">
        <is>
          <t>CM Assigned Date</t>
        </is>
      </c>
      <c r="AR5" s="33" t="inlineStr">
        <is>
          <t>Remedy Plan</t>
        </is>
      </c>
      <c r="AS5" s="33" t="inlineStr">
        <is>
          <t>Delinquency Notes</t>
        </is>
      </c>
      <c r="AT5" s="33" t="inlineStr">
        <is>
          <t>Maturity Status</t>
        </is>
      </c>
      <c r="AU5" s="33" t="inlineStr">
        <is>
          <t>Is Special Asset (Y/N)</t>
        </is>
      </c>
      <c r="AV5" s="33" t="inlineStr">
        <is>
          <t>Special Asset Status</t>
        </is>
      </c>
      <c r="AW5" s="33" t="inlineStr">
        <is>
          <t>Special Asset Reason</t>
        </is>
      </c>
      <c r="AX5" s="33" t="inlineStr">
        <is>
          <t>Special Asset: Special Asset Status</t>
        </is>
      </c>
      <c r="AY5" s="33" t="inlineStr">
        <is>
          <t>Special Asset: Resolved Date</t>
        </is>
      </c>
      <c r="AZ5" s="33" t="inlineStr">
        <is>
          <t>Forbearance Term Date</t>
        </is>
      </c>
      <c r="BA5" s="33" t="inlineStr">
        <is>
          <t>FC Sale Date</t>
        </is>
      </c>
      <c r="BB5" s="33" t="inlineStr">
        <is>
          <t>Rescheduled FC Sale Date</t>
        </is>
      </c>
      <c r="BC5" s="33" t="inlineStr">
        <is>
          <t>REO Date</t>
        </is>
      </c>
      <c r="BD5" s="33" t="inlineStr">
        <is>
          <t>Origination Value Dt</t>
        </is>
      </c>
      <c r="BE5" s="33" t="inlineStr">
        <is>
          <t>Origination As-Is Value</t>
        </is>
      </c>
      <c r="BF5" s="33" t="inlineStr">
        <is>
          <t>Origination ARV</t>
        </is>
      </c>
      <c r="BG5" s="33" t="inlineStr">
        <is>
          <t>Most Recent Appraisal Order Date</t>
        </is>
      </c>
      <c r="BH5" s="33" t="inlineStr">
        <is>
          <t>Updated Valuation Date</t>
        </is>
      </c>
      <c r="BI5" s="33" t="inlineStr">
        <is>
          <t>Updated As-Is Value</t>
        </is>
      </c>
      <c r="BJ5" s="33" t="inlineStr">
        <is>
          <t>Updated ARV</t>
        </is>
      </c>
      <c r="BK5" s="33" t="inlineStr">
        <is>
          <t>Initial Disbursement Funded</t>
        </is>
      </c>
      <c r="BL5" s="33" t="inlineStr">
        <is>
          <t>Renovation Holdback</t>
        </is>
      </c>
      <c r="BM5" s="33" t="inlineStr">
        <is>
          <t>Renovation Holdback Funded</t>
        </is>
      </c>
      <c r="BN5" s="33" t="inlineStr">
        <is>
          <t>Renovation Holdback Remaining</t>
        </is>
      </c>
      <c r="BO5" s="33" t="inlineStr">
        <is>
          <t>Interest Allocation</t>
        </is>
      </c>
      <c r="BP5" s="33" t="inlineStr">
        <is>
          <t>Interest Allocation Funded</t>
        </is>
      </c>
      <c r="BQ5" s="33" t="inlineStr">
        <is>
          <t>Title Company</t>
        </is>
      </c>
      <c r="BR5" s="33" t="inlineStr">
        <is>
          <t>Tax Due Date</t>
        </is>
      </c>
      <c r="BS5" s="33" t="inlineStr">
        <is>
          <t>Tax Frequency</t>
        </is>
      </c>
      <c r="BT5" s="33" t="inlineStr">
        <is>
          <t>Tax Commentary</t>
        </is>
      </c>
      <c r="BU5" s="33" t="inlineStr">
        <is>
          <t>Segment</t>
        </is>
      </c>
      <c r="BV5" s="33" t="inlineStr">
        <is>
          <t>Product Type</t>
        </is>
      </c>
      <c r="BW5" s="33" t="inlineStr">
        <is>
          <t>Product Sub-Type</t>
        </is>
      </c>
      <c r="BX5" s="33" t="inlineStr">
        <is>
          <t xml:space="preserve">Transaction Type </t>
        </is>
      </c>
      <c r="BY5" s="33" t="inlineStr">
        <is>
          <t>Project Strategy</t>
        </is>
      </c>
      <c r="BZ5" s="33" t="inlineStr">
        <is>
          <t>Strategy Grouping</t>
        </is>
      </c>
      <c r="CA5" s="33" t="inlineStr">
        <is>
          <t>Property Type</t>
        </is>
      </c>
      <c r="CB5" s="33" t="inlineStr">
        <is>
          <t>Originator</t>
        </is>
      </c>
      <c r="CC5" s="33" t="inlineStr">
        <is>
          <t>Active RM</t>
        </is>
      </c>
      <c r="CD5" s="33" t="inlineStr">
        <is>
          <t>Deal Intro Sub-Source</t>
        </is>
      </c>
      <c r="CE5" s="33" t="inlineStr">
        <is>
          <t>Referral Source Account</t>
        </is>
      </c>
      <c r="CF5" s="33" t="inlineStr">
        <is>
          <t>Referral Source Contact</t>
        </is>
      </c>
      <c r="CG5" s="33" t="inlineStr">
        <is>
          <t>Loan Stage</t>
        </is>
      </c>
      <c r="CH5" s="33" t="inlineStr">
        <is>
          <t>Property Status</t>
        </is>
      </c>
      <c r="CI5" s="33" t="inlineStr">
        <is>
          <t>Servicer Status</t>
        </is>
      </c>
      <c r="CJ5" s="33" t="inlineStr">
        <is>
          <t>Servicer Maturity Date</t>
        </is>
      </c>
      <c r="CK5" s="35" t="n"/>
      <c r="CL5" s="30" t="inlineStr">
        <is>
          <t>Loan Type</t>
        </is>
      </c>
      <c r="CM5" s="30" t="inlineStr">
        <is>
          <t>CV Maturity Date</t>
        </is>
      </c>
      <c r="CN5" s="30" t="inlineStr">
        <is>
          <t>Maturity Difference</t>
        </is>
      </c>
      <c r="CO5" s="30" t="inlineStr">
        <is>
          <t>Maturity Date</t>
        </is>
      </c>
      <c r="CP5" s="30" t="inlineStr">
        <is>
          <t>Days to Maturity</t>
        </is>
      </c>
      <c r="CQ5" s="30" t="inlineStr">
        <is>
          <t>Days Past Due</t>
        </is>
      </c>
      <c r="CR5" s="30" t="inlineStr">
        <is>
          <t>DQ Status</t>
        </is>
      </c>
      <c r="CS5" s="30" t="inlineStr">
        <is>
          <t>Most Recent Valuation Date</t>
        </is>
      </c>
      <c r="CT5" s="30" t="inlineStr">
        <is>
          <t>Most Recent As-Is Value</t>
        </is>
      </c>
      <c r="CU5" s="30" t="inlineStr">
        <is>
          <t>Most Recent ARV</t>
        </is>
      </c>
      <c r="CV5" s="30" t="inlineStr">
        <is>
          <t>Needs NPL Value</t>
        </is>
      </c>
      <c r="CW5" s="30" t="inlineStr">
        <is>
          <t>Securitized (Y/N)</t>
        </is>
      </c>
      <c r="CX5" s="30" t="inlineStr">
        <is>
          <t>SSP JV (Y/N)</t>
        </is>
      </c>
      <c r="CY5" s="30" t="inlineStr">
        <is>
          <t>CPP JV (Y/N)</t>
        </is>
      </c>
      <c r="CZ5" s="30" t="inlineStr">
        <is>
          <t>Oaktree JV (Y/N)</t>
        </is>
      </c>
      <c r="DA5" s="30" t="inlineStr">
        <is>
          <t>Legacy (Y/N)</t>
        </is>
      </c>
      <c r="DB5" s="30" t="inlineStr">
        <is>
          <t>Matured Loan (YN)</t>
        </is>
      </c>
      <c r="DC5" s="30" t="inlineStr">
        <is>
          <t>DQ 45+ Loan (Y/N)</t>
        </is>
      </c>
      <c r="DD5" s="30" t="inlineStr">
        <is>
          <t>SA Loan (Y/N)</t>
        </is>
      </c>
      <c r="DE5" s="30" t="inlineStr">
        <is>
          <t>6/30 NPL (Y/N)</t>
        </is>
      </c>
      <c r="DF5" s="30" t="inlineStr">
        <is>
          <t xml:space="preserve">2Q26 Special Loans List </t>
        </is>
      </c>
    </row>
    <row r="6">
      <c r="AI6" s="34">
        <f>+$BK6+$BM6+$BP6</f>
        <v/>
      </c>
      <c r="CL6" s="25">
        <f>IF($B6="5A","5A Bridge",IF($B6="TPO","Purchased Bridge",IF($B6="RB","Single Asset Bridge",$BV6)))</f>
        <v/>
      </c>
      <c r="CM6" s="25">
        <f>IF(OR($BV6="Credit Line",$BW6="Line of Credit"),$AG6,$AE6)</f>
        <v/>
      </c>
      <c r="CN6" s="10">
        <f>IFERROR($CM6-$CJ6,"N/A")</f>
        <v/>
      </c>
      <c r="CO6" s="25">
        <f>IF($CJ6&lt;&gt;"N/A",$CJ6,$CM6)</f>
        <v/>
      </c>
      <c r="CP6" s="10">
        <f>+$CO6-$CP$4</f>
        <v/>
      </c>
      <c r="CQ6" s="10">
        <f>+$CQ$4-$AC6</f>
        <v/>
      </c>
      <c r="CR6" s="10">
        <f>IF($BC6&lt;&gt;"N/A","REO",IF(AND($CQ6&gt;0,$CQ6&lt;30),"DQ 1-29",IF(AND($CQ6&gt;=30,$CQ6&lt;60),"DQ 30-59",IF(AND($CQ6&gt;=60,$CQ6&lt;90),"DQ 60-89",IF($CQ6&gt;=90,"DQ 90+","Current")))))</f>
        <v/>
      </c>
      <c r="CS6" s="25">
        <f>IF($BH6&lt;&gt;"N/A",$BH6,$BD6)</f>
        <v/>
      </c>
      <c r="CT6" s="34">
        <f>IF($BH6&lt;&gt;"N/A",$BI6,$BE6)</f>
        <v/>
      </c>
      <c r="CU6" s="34">
        <f>IF($BH6&lt;&gt;"N/A",$BJ6,$BF6)</f>
        <v/>
      </c>
      <c r="CV6" s="34">
        <f>IF(AND($DE6="Y",$CS6&lt;$CV$4),"Y","N")</f>
        <v/>
      </c>
      <c r="CW6" s="10">
        <f>IF(OR($BU6="Securitized Bridge",AND($D6="CAFL 2026-R1 CV",$BU6="Legacy")),"Y","N")</f>
        <v/>
      </c>
      <c r="CX6" s="34">
        <f>IF($BU6="SSP","Y","N")</f>
        <v/>
      </c>
      <c r="CY6" s="10">
        <f>IF($BU6="CPP JV","Y","N")</f>
        <v/>
      </c>
      <c r="CZ6" s="10">
        <f>IF($BU6="Oaktree JV","Y","N")</f>
        <v/>
      </c>
      <c r="DA6" s="10">
        <f>IF($BU6="Legacy","Y","N")</f>
        <v/>
      </c>
      <c r="DB6" s="10">
        <f>IF(_xlfn.MINIFS($CP:$CP,$E:$E,$E6)&lt;0,"Y","N")</f>
        <v/>
      </c>
      <c r="DC6" s="10">
        <f>IF(_xlfn.MAXIFS($CQ:$CQ,$E:$E,$E6)&gt;=45,"Y","N")</f>
        <v/>
      </c>
      <c r="DD6" s="10">
        <f>IFERROR(VLOOKUP($AL6,'Strategy Groupings'!$F$4:$G$14,2,0),"N")</f>
        <v/>
      </c>
      <c r="DE6" s="10">
        <f>IF(AND($D6&lt;&gt;"Sold",_xlfn.MINIFS($AC:$AC,$E:$E,$E6)&lt;$DE$4),"Y","N")</f>
        <v/>
      </c>
      <c r="DF6" s="10">
        <f>IF(AND($D6&lt;&gt;"Sold",OR($DA6="Y",$DB6="Y",$DC6="Y",$DD6="Y")),"Y","N")</f>
        <v/>
      </c>
    </row>
  </sheetData>
  <autoFilter ref="B5:DF4695"/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AI6"/>
  <sheetViews>
    <sheetView showGridLines="0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4.26953125" customWidth="1" min="1" max="1"/>
    <col width="17.453125" bestFit="1" customWidth="1" min="2" max="2"/>
    <col width="17.54296875" customWidth="1" min="3" max="3"/>
    <col width="16.26953125" customWidth="1" min="4" max="4"/>
    <col width="15.26953125" bestFit="1" customWidth="1" min="5" max="5"/>
    <col width="70" bestFit="1" customWidth="1" min="6" max="6"/>
    <col width="70.453125" bestFit="1" customWidth="1" min="7" max="7"/>
    <col width="42.26953125" bestFit="1" customWidth="1" min="8" max="8"/>
    <col width="22.1796875" bestFit="1" customWidth="1" min="9" max="9"/>
    <col width="15.54296875" bestFit="1" customWidth="1" min="10" max="10"/>
    <col width="21.7265625" bestFit="1" customWidth="1" min="11" max="11"/>
    <col width="22.54296875" bestFit="1" customWidth="1" min="12" max="12"/>
    <col width="12.453125" bestFit="1" customWidth="1" min="13" max="13"/>
    <col width="29.1796875" bestFit="1" customWidth="1" min="14" max="14"/>
    <col width="17.453125" bestFit="1" customWidth="1" min="15" max="15"/>
    <col width="18.26953125" customWidth="1" min="16" max="16"/>
    <col width="20.453125" bestFit="1" customWidth="1" min="17" max="17"/>
    <col width="17.81640625" bestFit="1" customWidth="1" min="18" max="18"/>
    <col width="23.1796875" bestFit="1" customWidth="1" min="19" max="19"/>
    <col width="14.453125" bestFit="1" customWidth="1" min="20" max="20"/>
    <col width="18.81640625" bestFit="1" customWidth="1" min="21" max="21"/>
    <col width="15" bestFit="1" customWidth="1" min="22" max="22"/>
    <col width="19.1796875" bestFit="1" customWidth="1" min="23" max="23"/>
    <col width="21.81640625" bestFit="1" customWidth="1" min="24" max="24"/>
    <col width="14.7265625" bestFit="1" customWidth="1" min="25" max="25"/>
    <col width="38.453125" bestFit="1" customWidth="1" min="26" max="26"/>
    <col width="40.54296875" bestFit="1" customWidth="1" min="27" max="27"/>
    <col width="27.54296875" bestFit="1" customWidth="1" min="28" max="28"/>
    <col width="75.7265625" customWidth="1" min="29" max="29"/>
    <col width="9.1796875" customWidth="1" min="30" max="30"/>
    <col width="15.6328125" customWidth="1" min="31" max="31"/>
    <col width="21.6328125" customWidth="1" min="32" max="34"/>
  </cols>
  <sheetData>
    <row r="1" ht="15" customHeight="1">
      <c r="V1" s="10" t="inlineStr">
        <is>
          <t>CALC</t>
        </is>
      </c>
      <c r="W1" s="10" t="inlineStr">
        <is>
          <t>CALC</t>
        </is>
      </c>
      <c r="AF1" s="10" t="inlineStr">
        <is>
          <t>CALC</t>
        </is>
      </c>
    </row>
    <row r="2" ht="15" customHeight="1">
      <c r="B2" s="59" t="inlineStr">
        <is>
          <t>Term Loan Level Data</t>
        </is>
      </c>
      <c r="AF2" s="25" t="n">
        <v>46203</v>
      </c>
    </row>
    <row r="3" ht="15" customHeight="1">
      <c r="B3" s="31" t="n"/>
    </row>
    <row r="4" ht="15" customHeight="1">
      <c r="Q4" s="11">
        <f>SUBTOTAL(9,Q6:Q1207)</f>
        <v/>
      </c>
      <c r="V4" s="24" t="n">
        <v>46178</v>
      </c>
      <c r="AF4" s="25">
        <f>+$AF$2-90</f>
        <v/>
      </c>
      <c r="AG4" s="10" t="inlineStr">
        <is>
          <t>Single Family Rental</t>
        </is>
      </c>
      <c r="AH4" s="10" t="inlineStr">
        <is>
          <t>Multifamily</t>
        </is>
      </c>
    </row>
    <row r="5" ht="45" customHeight="1">
      <c r="B5" s="28" t="inlineStr">
        <is>
          <t>Deal Number</t>
        </is>
      </c>
      <c r="C5" s="28" t="inlineStr">
        <is>
          <t>Servicer ID</t>
        </is>
      </c>
      <c r="D5" s="28" t="inlineStr">
        <is>
          <t>Servicer</t>
        </is>
      </c>
      <c r="E5" s="28" t="inlineStr">
        <is>
          <t>SF Yardi ID</t>
        </is>
      </c>
      <c r="F5" s="28" t="inlineStr">
        <is>
          <t>Deal Name</t>
        </is>
      </c>
      <c r="G5" s="28" t="inlineStr">
        <is>
          <t>Borrower Entity</t>
        </is>
      </c>
      <c r="H5" s="28" t="inlineStr">
        <is>
          <t>Account Name</t>
        </is>
      </c>
      <c r="I5" s="28" t="inlineStr">
        <is>
          <t>Do Not Lend (Y/N)</t>
        </is>
      </c>
      <c r="J5" s="28" t="inlineStr">
        <is>
          <t>Portfolio</t>
        </is>
      </c>
      <c r="K5" s="28" t="inlineStr">
        <is>
          <t>Segment</t>
        </is>
      </c>
      <c r="L5" s="28" t="inlineStr">
        <is>
          <t>Financing</t>
        </is>
      </c>
      <c r="M5" s="28" t="inlineStr">
        <is>
          <t>CPP JV</t>
        </is>
      </c>
      <c r="N5" s="28" t="inlineStr">
        <is>
          <t>Loan Buyer</t>
        </is>
      </c>
      <c r="O5" s="28" t="inlineStr">
        <is>
          <t>Loan Sold Date</t>
        </is>
      </c>
      <c r="P5" s="28" t="inlineStr">
        <is>
          <t>Loan Amount</t>
        </is>
      </c>
      <c r="Q5" s="28" t="inlineStr">
        <is>
          <t>6/5 UPB</t>
        </is>
      </c>
      <c r="R5" s="28" t="inlineStr">
        <is>
          <t>Origination Date</t>
        </is>
      </c>
      <c r="S5" s="28" t="inlineStr">
        <is>
          <t>Maturity Date</t>
        </is>
      </c>
      <c r="T5" s="28" t="inlineStr">
        <is>
          <t>Next Payment Date</t>
        </is>
      </c>
      <c r="U5" s="28" t="inlineStr">
        <is>
          <t>REO Date</t>
        </is>
      </c>
      <c r="V5" s="28" t="inlineStr">
        <is>
          <t>Days Past Due</t>
        </is>
      </c>
      <c r="W5" s="28" t="inlineStr">
        <is>
          <t>DQ Status</t>
        </is>
      </c>
      <c r="X5" s="28" t="inlineStr">
        <is>
          <t>Asset Manager</t>
        </is>
      </c>
      <c r="Y5" s="28" t="inlineStr">
        <is>
          <t>Originator</t>
        </is>
      </c>
      <c r="Z5" s="28" t="inlineStr">
        <is>
          <t>Active RM</t>
        </is>
      </c>
      <c r="AA5" s="28" t="inlineStr">
        <is>
          <t>Deal Intro Sub-Source</t>
        </is>
      </c>
      <c r="AB5" s="28" t="inlineStr">
        <is>
          <t>Referral Source Account</t>
        </is>
      </c>
      <c r="AC5" s="28" t="inlineStr">
        <is>
          <t>Referral Source Contact</t>
        </is>
      </c>
      <c r="AD5" s="28" t="inlineStr">
        <is>
          <t>AM Commentary</t>
        </is>
      </c>
      <c r="AE5" s="29" t="n"/>
      <c r="AF5" s="30" t="inlineStr">
        <is>
          <t xml:space="preserve">2Q26 Special Loans List </t>
        </is>
      </c>
      <c r="AG5" s="30" t="inlineStr">
        <is>
          <t>SFR Allocation</t>
        </is>
      </c>
      <c r="AH5" s="30" t="inlineStr">
        <is>
          <t>MF Allocation</t>
        </is>
      </c>
      <c r="AI5" s="30" t="inlineStr">
        <is>
          <t>Strategy Grouping</t>
        </is>
      </c>
    </row>
    <row r="6">
      <c r="V6" s="10">
        <f>+$V$4-$T6</f>
        <v/>
      </c>
      <c r="W6" s="10">
        <f>IF($U6&lt;&gt;"N/A","REO",IF(AND($V6&gt;0,$V6&lt;30),"DQ 1-29",IF(AND($V6&gt;=30,$V6&lt;60),"DQ 30-59",IF(AND($V6&gt;=60,$V6&lt;90),"DQ 60-89",IF($V6&gt;=90,"DQ 90+","Current")))))</f>
        <v/>
      </c>
      <c r="AF6" s="10">
        <f>IF(AND(OR($J6="Active Term",$J6="DSCR"),$T6&lt;=$AF$4,$W6&lt;&gt;"REO"),"Q2 NPL",IF(AND(OR($J6="Active Term",$J6="DSCR"),$W6="REO"),"Term REO",IF(AND($J6="Securitized Term",$W6="REO"),"CAFL REO",IF(AND(OR($J6="Active Term",$J6="DSCR"),$V6&gt;=45,$W6&lt;&gt;"REO"),"DQ 45+","N/A"))))</f>
        <v/>
      </c>
      <c r="AG6" s="26">
        <f>SUMIFS('Term Asset'!$S:$S,'Term Asset'!$B:$B,'Term Loan'!$B6,'Term Asset'!$O:$O,'Term Loan'!AG$4)</f>
        <v/>
      </c>
      <c r="AH6" s="26">
        <f>SUMIFS('Term Asset'!$S:$S,'Term Asset'!$B:$B,'Term Loan'!$B6,'Term Asset'!$O:$O,'Term Loan'!AH$4)</f>
        <v/>
      </c>
      <c r="AI6" s="10">
        <f>IF($AG6&gt;$AH6,"Single Family Rental","Multifamily")</f>
        <v/>
      </c>
    </row>
  </sheetData>
  <autoFilter ref="B5:AH1192"/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Y6"/>
  <sheetViews>
    <sheetView showGridLines="0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5" customHeight="1"/>
  <cols>
    <col width="4.26953125" customWidth="1" min="1" max="1"/>
    <col width="17.453125" bestFit="1" customWidth="1" min="2" max="2"/>
    <col width="13.54296875" bestFit="1" customWidth="1" min="3" max="3"/>
    <col width="17.54296875" customWidth="1" min="4" max="4"/>
    <col width="21" customWidth="1" min="5" max="5"/>
    <col width="23.453125" customWidth="1" min="6" max="6"/>
    <col width="21" customWidth="1" min="7" max="7"/>
    <col width="56.81640625" bestFit="1" customWidth="1" min="8" max="8"/>
    <col width="23.1796875" bestFit="1" customWidth="1" min="9" max="9"/>
    <col width="10.81640625" bestFit="1" customWidth="1" min="10" max="10"/>
    <col width="13.81640625" customWidth="1" min="11" max="11"/>
    <col width="45.1796875" bestFit="1" customWidth="1" min="12" max="12"/>
    <col width="12.26953125" bestFit="1" customWidth="1" min="13" max="13"/>
    <col width="19.81640625" bestFit="1" customWidth="1" min="14" max="14"/>
    <col width="26.1796875" customWidth="1" min="15" max="15"/>
    <col width="25" customWidth="1" min="16" max="16"/>
    <col width="23.7265625" customWidth="1" min="17" max="17"/>
    <col width="44.453125" bestFit="1" customWidth="1" min="18" max="18"/>
    <col width="20.81640625" customWidth="1" min="19" max="19"/>
    <col width="20.7265625" customWidth="1" min="20" max="20"/>
    <col width="9.1796875" customWidth="1" min="21" max="21"/>
    <col width="15.54296875" customWidth="1" min="22" max="22"/>
    <col width="15.54296875" bestFit="1" customWidth="1" min="23" max="23"/>
    <col width="16" bestFit="1" customWidth="1" min="24" max="24"/>
    <col width="21.7265625" customWidth="1" min="25" max="25"/>
  </cols>
  <sheetData>
    <row r="1" ht="14.5" customHeight="1">
      <c r="O1" s="10" t="n"/>
      <c r="P1" s="10" t="n"/>
      <c r="Q1" s="10" t="n"/>
      <c r="R1" s="10" t="n"/>
      <c r="T1" s="10" t="inlineStr">
        <is>
          <t>CALC</t>
        </is>
      </c>
      <c r="V1" s="10" t="inlineStr">
        <is>
          <t>CALC</t>
        </is>
      </c>
    </row>
    <row r="2" ht="15" customHeight="1">
      <c r="B2" s="59" t="inlineStr">
        <is>
          <t>Term Asset Level Data</t>
        </is>
      </c>
    </row>
    <row r="3" ht="15" customHeight="1">
      <c r="B3" s="59" t="n"/>
    </row>
    <row r="4" ht="15" customHeight="1">
      <c r="T4" s="32">
        <f>SUBTOTAL(9,T6:T27156)</f>
        <v/>
      </c>
      <c r="U4" s="32" t="n"/>
    </row>
    <row r="5" ht="45" customHeight="1">
      <c r="B5" s="33" t="inlineStr">
        <is>
          <t>Deal Number</t>
        </is>
      </c>
      <c r="C5" s="33" t="inlineStr">
        <is>
          <t>Asset ID</t>
        </is>
      </c>
      <c r="D5" s="33" t="inlineStr">
        <is>
          <t>Portfolio</t>
        </is>
      </c>
      <c r="E5" s="33" t="inlineStr">
        <is>
          <t>Segment</t>
        </is>
      </c>
      <c r="F5" s="33" t="inlineStr">
        <is>
          <t>Financing</t>
        </is>
      </c>
      <c r="G5" s="33" t="inlineStr">
        <is>
          <t>Origination Date</t>
        </is>
      </c>
      <c r="H5" s="33" t="inlineStr">
        <is>
          <t>Address</t>
        </is>
      </c>
      <c r="I5" s="33" t="inlineStr">
        <is>
          <t>City</t>
        </is>
      </c>
      <c r="J5" s="33" t="inlineStr">
        <is>
          <t>State</t>
        </is>
      </c>
      <c r="K5" s="33" t="inlineStr">
        <is>
          <t>Zip</t>
        </is>
      </c>
      <c r="L5" s="33" t="inlineStr">
        <is>
          <t>CBSA</t>
        </is>
      </c>
      <c r="M5" s="33" t="inlineStr">
        <is>
          <t># Units</t>
        </is>
      </c>
      <c r="N5" s="33" t="inlineStr">
        <is>
          <t>Property Type</t>
        </is>
      </c>
      <c r="O5" s="33" t="inlineStr">
        <is>
          <t>Grouping</t>
        </is>
      </c>
      <c r="P5" s="33" t="inlineStr">
        <is>
          <t>Origination Value Date</t>
        </is>
      </c>
      <c r="Q5" s="33" t="inlineStr">
        <is>
          <t>Origination Value</t>
        </is>
      </c>
      <c r="R5" s="33" t="inlineStr">
        <is>
          <t>Origination Value Type</t>
        </is>
      </c>
      <c r="S5" s="33" t="inlineStr">
        <is>
          <t>Property ALA</t>
        </is>
      </c>
      <c r="T5" s="33">
        <f>+'Term Loan'!$Q$5</f>
        <v/>
      </c>
      <c r="U5" s="32" t="n"/>
      <c r="V5" s="30" t="inlineStr">
        <is>
          <t xml:space="preserve">2Q26 Special Loans List </t>
        </is>
      </c>
      <c r="W5" s="30" t="inlineStr">
        <is>
          <t>Updated Value Date</t>
        </is>
      </c>
      <c r="X5" s="30" t="inlineStr">
        <is>
          <t>Updated As-Is Value</t>
        </is>
      </c>
      <c r="Y5" s="30" t="inlineStr">
        <is>
          <t>Updated Value Type</t>
        </is>
      </c>
    </row>
    <row r="6" ht="15" customHeight="1">
      <c r="T6" s="34">
        <f>+(S6/SUMIFS(S:S,B:B,B6))*_xlfn.XLOOKUP(B6,'Term Loan'!B:B,'Term Loan'!Q:Q)</f>
        <v/>
      </c>
      <c r="V6" s="10">
        <f>_xlfn.XLOOKUP($B6,'Term Loan'!$B:$B,'Term Loan'!$AF:$AF)</f>
        <v/>
      </c>
    </row>
  </sheetData>
  <autoFilter ref="B5:Y27156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3.26953125" bestFit="1" customWidth="1" min="2" max="2"/>
    <col width="39.26953125" customWidth="1" min="3" max="3"/>
  </cols>
  <sheetData>
    <row r="2">
      <c r="B2" s="7" t="inlineStr">
        <is>
          <t>SSP Pool</t>
        </is>
      </c>
    </row>
    <row r="4">
      <c r="B4" s="8" t="inlineStr">
        <is>
          <t>Deal No.</t>
        </is>
      </c>
      <c r="C4" s="8" t="inlineStr">
        <is>
          <t>Deal Name</t>
        </is>
      </c>
    </row>
    <row r="5">
      <c r="B5" s="9" t="n">
        <v>39268</v>
      </c>
      <c r="C5" s="9" t="inlineStr">
        <is>
          <t>The Conservancy BTR</t>
        </is>
      </c>
    </row>
    <row r="6">
      <c r="B6" s="9" t="n">
        <v>40791</v>
      </c>
      <c r="C6" s="9" t="inlineStr">
        <is>
          <t>Moda Yorkville Townhomes</t>
        </is>
      </c>
    </row>
    <row r="7">
      <c r="B7" s="9" t="n">
        <v>43229</v>
      </c>
      <c r="C7" s="9" t="inlineStr">
        <is>
          <t>JCF Huntsville 2 - 2022 Refinance</t>
        </is>
      </c>
    </row>
    <row r="8">
      <c r="B8" s="9" t="n">
        <v>30518</v>
      </c>
      <c r="C8" s="9" t="inlineStr">
        <is>
          <t>JCF Lebanon, LLC</t>
        </is>
      </c>
    </row>
    <row r="9">
      <c r="B9" s="9" t="n">
        <v>37572</v>
      </c>
      <c r="C9" s="9" t="inlineStr">
        <is>
          <t>Florio 3000 Ember MF</t>
        </is>
      </c>
    </row>
    <row r="10">
      <c r="B10" s="9" t="n">
        <v>41482</v>
      </c>
      <c r="C10" s="9" t="inlineStr">
        <is>
          <t>The Wilcox</t>
        </is>
      </c>
    </row>
    <row r="11">
      <c r="B11" s="9" t="n">
        <v>34430</v>
      </c>
      <c r="C11" s="9" t="inlineStr">
        <is>
          <t>Antioch (The Clublands)</t>
        </is>
      </c>
    </row>
    <row r="12">
      <c r="B12" s="9" t="n">
        <v>41483</v>
      </c>
      <c r="C12" s="9" t="inlineStr">
        <is>
          <t>The Morgan</t>
        </is>
      </c>
    </row>
    <row r="13">
      <c r="B13" s="9" t="n">
        <v>42814</v>
      </c>
      <c r="C13" s="9" t="inlineStr">
        <is>
          <t>Eagles Landing</t>
        </is>
      </c>
    </row>
    <row r="14">
      <c r="B14" s="9" t="n">
        <v>38720</v>
      </c>
      <c r="C14" s="9" t="inlineStr">
        <is>
          <t>The View ABQ</t>
        </is>
      </c>
    </row>
    <row r="15">
      <c r="B15" s="9" t="n">
        <v>38524</v>
      </c>
      <c r="C15" s="9" t="inlineStr">
        <is>
          <t>Cottages at Braselton - 2022</t>
        </is>
      </c>
    </row>
    <row r="16">
      <c r="B16" s="9" t="n">
        <v>43438</v>
      </c>
      <c r="C16" s="9" t="inlineStr">
        <is>
          <t>Second City Rentals LOC 2</t>
        </is>
      </c>
    </row>
    <row r="17">
      <c r="B17" s="9" t="n">
        <v>45202</v>
      </c>
      <c r="C17" s="9" t="inlineStr">
        <is>
          <t>Prominence BTR 4</t>
        </is>
      </c>
    </row>
    <row r="18">
      <c r="B18" s="9" t="n">
        <v>41867</v>
      </c>
      <c r="C18" s="9" t="inlineStr">
        <is>
          <t>Boston Woods</t>
        </is>
      </c>
    </row>
    <row r="19">
      <c r="B19" s="9" t="n">
        <v>40576</v>
      </c>
      <c r="C19" s="9" t="inlineStr">
        <is>
          <t>Urban Communities Detroit Multis - LOC</t>
        </is>
      </c>
    </row>
    <row r="20">
      <c r="B20" s="9" t="n">
        <v>40021</v>
      </c>
      <c r="C20" s="9" t="inlineStr">
        <is>
          <t>Viking Mill</t>
        </is>
      </c>
    </row>
    <row r="21">
      <c r="B21" s="9" t="n">
        <v>39712</v>
      </c>
      <c r="C21" s="9" t="inlineStr">
        <is>
          <t>Florio 925 Conley MF</t>
        </is>
      </c>
    </row>
    <row r="22">
      <c r="B22" s="9" t="n">
        <v>41195</v>
      </c>
      <c r="C22" s="9" t="inlineStr">
        <is>
          <t>Antigua Village CLO</t>
        </is>
      </c>
    </row>
    <row r="23">
      <c r="B23" s="9" t="n">
        <v>39295</v>
      </c>
      <c r="C23" s="9" t="inlineStr">
        <is>
          <t>Onslow - Town Center Apts</t>
        </is>
      </c>
    </row>
    <row r="24">
      <c r="B24" s="9" t="n">
        <v>39711</v>
      </c>
      <c r="C24" s="9" t="inlineStr">
        <is>
          <t>Florio 875 Conley MF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17.453125" bestFit="1" customWidth="1" min="2" max="2"/>
    <col width="57.26953125" bestFit="1" customWidth="1" min="3" max="3"/>
    <col width="16.7265625" bestFit="1" customWidth="1" min="4" max="4"/>
    <col width="17.453125" bestFit="1" customWidth="1" min="7" max="7"/>
    <col width="34.1796875" bestFit="1" customWidth="1" min="8" max="8"/>
    <col width="16.453125" bestFit="1" customWidth="1" min="9" max="9"/>
  </cols>
  <sheetData>
    <row r="2">
      <c r="B2" s="7" t="inlineStr">
        <is>
          <t>Legacy Bridge - 9/30</t>
        </is>
      </c>
      <c r="G2" s="7" t="inlineStr">
        <is>
          <t>Legacy Term - 9/30</t>
        </is>
      </c>
    </row>
    <row r="3">
      <c r="B3" t="inlineStr">
        <is>
          <t>09302025 RWT Bridge Tape - 10.17.25 v1</t>
        </is>
      </c>
      <c r="G3">
        <f>+B3</f>
        <v/>
      </c>
    </row>
    <row r="5">
      <c r="B5" s="8" t="inlineStr">
        <is>
          <t>Deal Number</t>
        </is>
      </c>
      <c r="C5" s="8" t="inlineStr">
        <is>
          <t>Deal Name</t>
        </is>
      </c>
      <c r="D5" s="8" t="inlineStr">
        <is>
          <t>Q3 Segment</t>
        </is>
      </c>
      <c r="G5" s="8" t="inlineStr">
        <is>
          <t>Deal Number</t>
        </is>
      </c>
      <c r="H5" s="8" t="inlineStr">
        <is>
          <t>Deal Name</t>
        </is>
      </c>
      <c r="I5" s="8" t="inlineStr">
        <is>
          <t>Q3 Segment</t>
        </is>
      </c>
    </row>
    <row r="6">
      <c r="B6" s="9" t="n">
        <v>39499</v>
      </c>
      <c r="C6" s="9" t="inlineStr">
        <is>
          <t>AB Asset Management Louisiana CRE Portfolio</t>
        </is>
      </c>
      <c r="D6" s="9" t="inlineStr">
        <is>
          <t>Legacy</t>
        </is>
      </c>
      <c r="G6" s="9" t="n">
        <v>41494</v>
      </c>
      <c r="H6" s="9" t="inlineStr">
        <is>
          <t>Wieder BR 1</t>
        </is>
      </c>
      <c r="I6" s="9" t="inlineStr">
        <is>
          <t>Legacy</t>
        </is>
      </c>
    </row>
    <row r="7">
      <c r="B7" s="9" t="n">
        <v>39318</v>
      </c>
      <c r="C7" s="9" t="inlineStr">
        <is>
          <t>The Village at Kensington</t>
        </is>
      </c>
      <c r="D7" s="9" t="inlineStr">
        <is>
          <t>Legacy</t>
        </is>
      </c>
      <c r="G7" s="9" t="n">
        <v>48487</v>
      </c>
      <c r="H7" s="9" t="inlineStr">
        <is>
          <t>Bonner MA II</t>
        </is>
      </c>
      <c r="I7" s="9" t="inlineStr">
        <is>
          <t>Legacy</t>
        </is>
      </c>
    </row>
    <row r="8">
      <c r="B8" s="9" t="n">
        <v>40113</v>
      </c>
      <c r="C8" s="9" t="inlineStr">
        <is>
          <t>Midwest Portfolio - OH</t>
        </is>
      </c>
      <c r="D8" s="9" t="inlineStr">
        <is>
          <t>Legacy</t>
        </is>
      </c>
      <c r="G8" s="9" t="n">
        <v>44177</v>
      </c>
      <c r="H8" s="9" t="inlineStr">
        <is>
          <t>Razjooyan DC 7 (2844 Langston Pl SE)</t>
        </is>
      </c>
      <c r="I8" s="9" t="inlineStr">
        <is>
          <t>Legacy</t>
        </is>
      </c>
    </row>
    <row r="9">
      <c r="B9" s="9" t="n">
        <v>39584</v>
      </c>
      <c r="C9" s="9" t="inlineStr">
        <is>
          <t>The Jolie</t>
        </is>
      </c>
      <c r="D9" s="9" t="inlineStr">
        <is>
          <t>Legacy</t>
        </is>
      </c>
      <c r="G9" s="9" t="n">
        <v>20739</v>
      </c>
      <c r="H9" s="9" t="inlineStr">
        <is>
          <t>John Bailey WV</t>
        </is>
      </c>
      <c r="I9" s="9" t="inlineStr">
        <is>
          <t>Legacy</t>
        </is>
      </c>
    </row>
    <row r="10">
      <c r="B10" s="9" t="n">
        <v>39894</v>
      </c>
      <c r="C10" s="9" t="inlineStr">
        <is>
          <t>32 India St</t>
        </is>
      </c>
      <c r="D10" s="9" t="inlineStr">
        <is>
          <t>Legacy</t>
        </is>
      </c>
      <c r="G10" s="9" t="n">
        <v>20747</v>
      </c>
      <c r="H10" s="9" t="inlineStr">
        <is>
          <t>Equity Build 3</t>
        </is>
      </c>
      <c r="I10" s="9" t="inlineStr">
        <is>
          <t>Legacy</t>
        </is>
      </c>
    </row>
    <row r="11">
      <c r="B11" s="9" t="n">
        <v>47079</v>
      </c>
      <c r="C11" s="9" t="inlineStr">
        <is>
          <t>Bungalows on Village Way 2023</t>
        </is>
      </c>
      <c r="D11" s="9" t="inlineStr">
        <is>
          <t>Legacy</t>
        </is>
      </c>
      <c r="G11" s="9" t="n">
        <v>54426</v>
      </c>
      <c r="H11" s="9" t="inlineStr">
        <is>
          <t>Bonham Capital</t>
        </is>
      </c>
      <c r="I11" s="9" t="inlineStr">
        <is>
          <t>Legacy</t>
        </is>
      </c>
    </row>
    <row r="12">
      <c r="B12" s="9" t="n">
        <v>55629</v>
      </c>
      <c r="C12" s="9" t="inlineStr">
        <is>
          <t>Sutton Fields</t>
        </is>
      </c>
      <c r="D12" s="9" t="inlineStr">
        <is>
          <t>Legacy - Partial</t>
        </is>
      </c>
      <c r="G12" s="9" t="n">
        <v>50841</v>
      </c>
      <c r="H12" s="9" t="inlineStr">
        <is>
          <t>Cohen 1</t>
        </is>
      </c>
      <c r="I12" s="9" t="inlineStr">
        <is>
          <t>Legacy</t>
        </is>
      </c>
    </row>
    <row r="13">
      <c r="B13" s="9" t="n">
        <v>47464</v>
      </c>
      <c r="C13" s="9" t="inlineStr">
        <is>
          <t>Yorkminster 2023</t>
        </is>
      </c>
      <c r="D13" s="9" t="inlineStr">
        <is>
          <t>Legacy</t>
        </is>
      </c>
      <c r="G13" s="9" t="n">
        <v>43422</v>
      </c>
      <c r="H13" s="9" t="inlineStr">
        <is>
          <t>Vision &amp; Beyond 1</t>
        </is>
      </c>
      <c r="I13" s="9" t="inlineStr">
        <is>
          <t>Legacy</t>
        </is>
      </c>
    </row>
    <row r="14">
      <c r="B14" s="9" t="n">
        <v>41448</v>
      </c>
      <c r="C14" s="9" t="inlineStr">
        <is>
          <t>London Square &amp; River Glen</t>
        </is>
      </c>
      <c r="D14" s="9" t="inlineStr">
        <is>
          <t>Legacy</t>
        </is>
      </c>
      <c r="G14" s="9" t="n">
        <v>43462</v>
      </c>
      <c r="H14" s="9" t="inlineStr">
        <is>
          <t>Vision &amp; Beyond 2</t>
        </is>
      </c>
      <c r="I14" s="9" t="inlineStr">
        <is>
          <t>Legacy</t>
        </is>
      </c>
    </row>
    <row r="15">
      <c r="B15" s="9" t="n">
        <v>40945</v>
      </c>
      <c r="C15" s="9" t="inlineStr">
        <is>
          <t>Balfour Chamblee</t>
        </is>
      </c>
      <c r="D15" s="9" t="inlineStr">
        <is>
          <t>Paid Off</t>
        </is>
      </c>
      <c r="G15" s="9" t="n"/>
      <c r="H15" s="9" t="n"/>
      <c r="I15" s="9" t="n"/>
    </row>
    <row r="16">
      <c r="B16" s="9" t="n">
        <v>32506</v>
      </c>
      <c r="C16" s="9" t="inlineStr">
        <is>
          <t>Falcon Conley CV20 LLC (Florio Conley)</t>
        </is>
      </c>
      <c r="D16" s="9" t="inlineStr">
        <is>
          <t>Legacy</t>
        </is>
      </c>
    </row>
    <row r="17">
      <c r="B17" s="9" t="n">
        <v>33732</v>
      </c>
      <c r="C17" s="9" t="inlineStr">
        <is>
          <t>JCF Panama Waterfront, LLC</t>
        </is>
      </c>
      <c r="D17" s="9" t="inlineStr">
        <is>
          <t>Legacy</t>
        </is>
      </c>
    </row>
    <row r="18">
      <c r="B18" s="9" t="n">
        <v>49128</v>
      </c>
      <c r="C18" s="9" t="inlineStr">
        <is>
          <t>McKinley Homes</t>
        </is>
      </c>
      <c r="D18" s="9" t="inlineStr">
        <is>
          <t>Legacy</t>
        </is>
      </c>
    </row>
    <row r="19">
      <c r="B19" s="9" t="n">
        <v>57543</v>
      </c>
      <c r="C19" s="9" t="inlineStr">
        <is>
          <t>Ark Homes for Rent (Settlers Preserve) LOC</t>
        </is>
      </c>
      <c r="D19" s="9" t="inlineStr">
        <is>
          <t>Legacy</t>
        </is>
      </c>
    </row>
    <row r="20">
      <c r="B20" s="9" t="n">
        <v>40915</v>
      </c>
      <c r="C20" s="9" t="inlineStr">
        <is>
          <t>Mittelman Portfolio Baton Rouge</t>
        </is>
      </c>
      <c r="D20" s="9" t="inlineStr">
        <is>
          <t>REO</t>
        </is>
      </c>
    </row>
    <row r="21">
      <c r="B21" s="9" t="n">
        <v>38947</v>
      </c>
      <c r="C21" s="9" t="inlineStr">
        <is>
          <t>TCY Capital Baton Rouge</t>
        </is>
      </c>
      <c r="D21" s="9" t="inlineStr">
        <is>
          <t>Legacy</t>
        </is>
      </c>
    </row>
    <row r="22">
      <c r="B22" s="9" t="n">
        <v>41475</v>
      </c>
      <c r="C22" s="9" t="inlineStr">
        <is>
          <t>Polaris at East Point</t>
        </is>
      </c>
      <c r="D22" s="9" t="inlineStr">
        <is>
          <t>REO</t>
        </is>
      </c>
    </row>
    <row r="23">
      <c r="B23" s="9" t="n">
        <v>33735</v>
      </c>
      <c r="C23" s="9" t="inlineStr">
        <is>
          <t>JCF Panama Clara, LLC</t>
        </is>
      </c>
      <c r="D23" s="9" t="inlineStr">
        <is>
          <t>Legacy</t>
        </is>
      </c>
    </row>
    <row r="24">
      <c r="B24" s="9" t="n">
        <v>40923</v>
      </c>
      <c r="C24" s="9" t="inlineStr">
        <is>
          <t>Florio Mayson Turner MF</t>
        </is>
      </c>
      <c r="D24" s="9" t="inlineStr">
        <is>
          <t>REO</t>
        </is>
      </c>
    </row>
    <row r="25">
      <c r="B25" s="9" t="n">
        <v>54718</v>
      </c>
      <c r="C25" s="9" t="inlineStr">
        <is>
          <t>Eden Hill Development Refi Renewal</t>
        </is>
      </c>
      <c r="D25" s="9" t="inlineStr">
        <is>
          <t>Legacy</t>
        </is>
      </c>
    </row>
    <row r="26">
      <c r="B26" s="9" t="n">
        <v>56309</v>
      </c>
      <c r="C26" s="9" t="inlineStr">
        <is>
          <t>River View at Bexley</t>
        </is>
      </c>
      <c r="D26" s="9" t="inlineStr">
        <is>
          <t>Securitized Bridge</t>
        </is>
      </c>
    </row>
    <row r="27">
      <c r="B27" s="9" t="n">
        <v>38964</v>
      </c>
      <c r="C27" s="9" t="inlineStr">
        <is>
          <t>707 West Commerce</t>
        </is>
      </c>
      <c r="D27" s="9" t="inlineStr">
        <is>
          <t>REO</t>
        </is>
      </c>
    </row>
    <row r="28">
      <c r="B28" s="9" t="n">
        <v>56109</v>
      </c>
      <c r="C28" s="9" t="inlineStr">
        <is>
          <t>Sandrock Gardens</t>
        </is>
      </c>
      <c r="D28" s="9" t="inlineStr">
        <is>
          <t>Legacy - Partial</t>
        </is>
      </c>
    </row>
    <row r="29">
      <c r="B29" s="9" t="n">
        <v>37509</v>
      </c>
      <c r="C29" s="9" t="inlineStr">
        <is>
          <t>Florio 204-210 Graham MF</t>
        </is>
      </c>
      <c r="D29" s="9" t="inlineStr">
        <is>
          <t>Legacy</t>
        </is>
      </c>
    </row>
    <row r="30">
      <c r="B30" s="9" t="n">
        <v>38528</v>
      </c>
      <c r="C30" s="9" t="inlineStr">
        <is>
          <t>Florio 362-366 Hamilton MF</t>
        </is>
      </c>
      <c r="D30" s="9" t="inlineStr">
        <is>
          <t>Legacy</t>
        </is>
      </c>
    </row>
    <row r="31">
      <c r="B31" s="9" t="n">
        <v>37733</v>
      </c>
      <c r="C31" s="9" t="inlineStr">
        <is>
          <t>Prominence BTR 3</t>
        </is>
      </c>
      <c r="D31" s="9" t="inlineStr">
        <is>
          <t>Paid Off</t>
        </is>
      </c>
    </row>
    <row r="32">
      <c r="B32" s="9" t="n">
        <v>37535</v>
      </c>
      <c r="C32" s="9" t="inlineStr">
        <is>
          <t>Florio 94-96 16th MF</t>
        </is>
      </c>
      <c r="D32" s="9" t="inlineStr">
        <is>
          <t>Legacy</t>
        </is>
      </c>
    </row>
    <row r="33">
      <c r="B33" s="9" t="n">
        <v>38304</v>
      </c>
      <c r="C33" s="9" t="inlineStr">
        <is>
          <t>Florio 198-200 Harrison MF</t>
        </is>
      </c>
      <c r="D33" s="9" t="inlineStr">
        <is>
          <t>Legacy</t>
        </is>
      </c>
    </row>
    <row r="34">
      <c r="B34" s="9" t="n">
        <v>57973</v>
      </c>
      <c r="C34" s="9" t="inlineStr">
        <is>
          <t>Wan Bridge LOC 2025 II</t>
        </is>
      </c>
      <c r="D34" s="9" t="inlineStr">
        <is>
          <t>Legacy</t>
        </is>
      </c>
    </row>
    <row r="35">
      <c r="B35" s="9" t="n">
        <v>40771</v>
      </c>
      <c r="C35" s="9" t="inlineStr">
        <is>
          <t>Midwest Portfolio - IN</t>
        </is>
      </c>
      <c r="D35" s="9" t="inlineStr">
        <is>
          <t>Legacy</t>
        </is>
      </c>
    </row>
    <row r="36">
      <c r="B36" s="9" t="inlineStr">
        <is>
          <t>5A-11833</t>
        </is>
      </c>
      <c r="C36" s="9" t="inlineStr">
        <is>
          <t>CAPITAL HOMES INVESTMENTS LLC</t>
        </is>
      </c>
      <c r="D36" s="9" t="inlineStr">
        <is>
          <t>Legacy</t>
        </is>
      </c>
    </row>
    <row r="37">
      <c r="B37" s="9" t="n">
        <v>41874</v>
      </c>
      <c r="C37" s="9" t="inlineStr">
        <is>
          <t>Stanley Wellington Bridge</t>
        </is>
      </c>
      <c r="D37" s="9" t="inlineStr">
        <is>
          <t>Paid Off</t>
        </is>
      </c>
    </row>
    <row r="38">
      <c r="B38" s="9" t="n">
        <v>39386</v>
      </c>
      <c r="C38" s="9" t="inlineStr">
        <is>
          <t>Florio 8-10 Godwin MF</t>
        </is>
      </c>
      <c r="D38" s="9" t="inlineStr">
        <is>
          <t>Legacy</t>
        </is>
      </c>
    </row>
    <row r="39">
      <c r="B39" s="9" t="n">
        <v>40426</v>
      </c>
      <c r="C39" s="9" t="inlineStr">
        <is>
          <t>Cornerstone Apartments Louisville</t>
        </is>
      </c>
      <c r="D39" s="9" t="inlineStr">
        <is>
          <t>Paid Off</t>
        </is>
      </c>
    </row>
    <row r="40">
      <c r="B40" s="9" t="inlineStr">
        <is>
          <t>2214-003504</t>
        </is>
      </c>
      <c r="C40" s="9" t="inlineStr">
        <is>
          <t>3651 Alta Mesa Drive</t>
        </is>
      </c>
      <c r="D40" s="9" t="inlineStr">
        <is>
          <t>Paid Off</t>
        </is>
      </c>
    </row>
    <row r="41">
      <c r="B41" s="9" t="n">
        <v>41124</v>
      </c>
      <c r="C41" s="9" t="inlineStr">
        <is>
          <t>Florio 212-214 12th Ave MF</t>
        </is>
      </c>
      <c r="D41" s="9" t="inlineStr">
        <is>
          <t>Legacy</t>
        </is>
      </c>
    </row>
    <row r="42">
      <c r="B42" s="9" t="n">
        <v>42295</v>
      </c>
      <c r="C42" s="9" t="inlineStr">
        <is>
          <t>4646 Moncrief</t>
        </is>
      </c>
      <c r="D42" s="9" t="inlineStr">
        <is>
          <t>Paid Off</t>
        </is>
      </c>
    </row>
    <row r="43">
      <c r="B43" s="9" t="n">
        <v>39392</v>
      </c>
      <c r="C43" s="9" t="inlineStr">
        <is>
          <t>Florio 21 Godwin MF</t>
        </is>
      </c>
      <c r="D43" s="9" t="inlineStr">
        <is>
          <t>Legacy</t>
        </is>
      </c>
    </row>
    <row r="44">
      <c r="B44" s="9" t="n">
        <v>37683</v>
      </c>
      <c r="C44" s="9" t="inlineStr">
        <is>
          <t xml:space="preserve">ALJ Investmentss, Inc. </t>
        </is>
      </c>
      <c r="D44" s="9" t="inlineStr">
        <is>
          <t>Legacy</t>
        </is>
      </c>
    </row>
    <row r="45">
      <c r="B45" s="9" t="n">
        <v>41118</v>
      </c>
      <c r="C45" s="9" t="inlineStr">
        <is>
          <t>Florio 41 Godwin MF</t>
        </is>
      </c>
      <c r="D45" s="9" t="inlineStr">
        <is>
          <t>Legacy</t>
        </is>
      </c>
    </row>
    <row r="46">
      <c r="B46" s="9" t="n">
        <v>39795</v>
      </c>
      <c r="C46" s="9" t="inlineStr">
        <is>
          <t>Indigo 52, LLC</t>
        </is>
      </c>
      <c r="D46" s="9" t="inlineStr">
        <is>
          <t>Legacy</t>
        </is>
      </c>
    </row>
    <row r="47">
      <c r="B47" s="9" t="n">
        <v>37185</v>
      </c>
      <c r="C47" s="9" t="inlineStr">
        <is>
          <t>SAP RE HOLDINGS LLC</t>
        </is>
      </c>
      <c r="D47" s="9" t="inlineStr">
        <is>
          <t>Legacy</t>
        </is>
      </c>
    </row>
    <row r="48">
      <c r="B48" s="9" t="n">
        <v>57646</v>
      </c>
      <c r="C48" s="9" t="inlineStr">
        <is>
          <t>Tides Group I</t>
        </is>
      </c>
      <c r="D48" s="9" t="inlineStr">
        <is>
          <t>Securitized Bridge</t>
        </is>
      </c>
    </row>
    <row r="49">
      <c r="B49" s="9" t="n">
        <v>37682</v>
      </c>
      <c r="C49" s="9" t="inlineStr">
        <is>
          <t>ALJ Portfolio II LLC</t>
        </is>
      </c>
      <c r="D49" s="9" t="inlineStr">
        <is>
          <t>Legacy</t>
        </is>
      </c>
    </row>
    <row r="50">
      <c r="B50" s="9" t="inlineStr">
        <is>
          <t>2340-003726</t>
        </is>
      </c>
      <c r="C50" s="9" t="inlineStr">
        <is>
          <t>2340-003726 - 27 Virginia Ave, 29 Virginia Ave &amp; 31 Virginia Ave</t>
        </is>
      </c>
      <c r="D50" s="9" t="inlineStr">
        <is>
          <t>Legacy</t>
        </is>
      </c>
    </row>
    <row r="51">
      <c r="B51" s="9" t="n">
        <v>37623</v>
      </c>
      <c r="C51" s="9" t="inlineStr">
        <is>
          <t>8200 S Paulina Investment LLC</t>
        </is>
      </c>
      <c r="D51" s="9" t="inlineStr">
        <is>
          <t>REO</t>
        </is>
      </c>
    </row>
    <row r="52">
      <c r="B52" s="9" t="n">
        <v>37628</v>
      </c>
      <c r="C52" s="9" t="inlineStr">
        <is>
          <t>8100 S Paulina Investment LLC</t>
        </is>
      </c>
      <c r="D52" s="9" t="inlineStr">
        <is>
          <t>REO</t>
        </is>
      </c>
    </row>
    <row r="53">
      <c r="B53" s="9" t="n">
        <v>37622</v>
      </c>
      <c r="C53" s="9" t="inlineStr">
        <is>
          <t>7157 S YALE LLC</t>
        </is>
      </c>
      <c r="D53" s="9" t="inlineStr">
        <is>
          <t>REO</t>
        </is>
      </c>
    </row>
    <row r="54">
      <c r="B54" s="9" t="n">
        <v>37626</v>
      </c>
      <c r="C54" s="9" t="inlineStr">
        <is>
          <t>7200 S Vincennes Investment LLC</t>
        </is>
      </c>
      <c r="D54" s="9" t="inlineStr">
        <is>
          <t>REO</t>
        </is>
      </c>
    </row>
    <row r="55">
      <c r="B55" s="9" t="n">
        <v>37733</v>
      </c>
      <c r="C55" s="9" t="inlineStr">
        <is>
          <t>Prominence BTR 3</t>
        </is>
      </c>
      <c r="D55" s="9" t="inlineStr">
        <is>
          <t>Paid Off</t>
        </is>
      </c>
    </row>
    <row r="56">
      <c r="B56" s="9" t="n">
        <v>56454</v>
      </c>
      <c r="C56" s="9" t="inlineStr">
        <is>
          <t>Sherry Li LOC 5</t>
        </is>
      </c>
      <c r="D56" s="9" t="inlineStr">
        <is>
          <t>Securitized Bridge</t>
        </is>
      </c>
    </row>
    <row r="57">
      <c r="B57" s="9" t="n">
        <v>25367</v>
      </c>
      <c r="C57" s="9" t="inlineStr">
        <is>
          <t>LEXINGTON EQUITIES LLC, a Delaware limited liability company</t>
        </is>
      </c>
      <c r="D57" s="9" t="inlineStr">
        <is>
          <t>Paid Off</t>
        </is>
      </c>
    </row>
    <row r="58">
      <c r="B58" s="9" t="inlineStr">
        <is>
          <t>2071-003145</t>
        </is>
      </c>
      <c r="C58" s="9" t="inlineStr">
        <is>
          <t>97 Appletree Dr</t>
        </is>
      </c>
      <c r="D58" s="9" t="inlineStr">
        <is>
          <t>Legacy</t>
        </is>
      </c>
    </row>
    <row r="59">
      <c r="B59" s="9" t="n">
        <v>53344</v>
      </c>
      <c r="C59" s="9" t="inlineStr">
        <is>
          <t>Smartland Aggregation LOC</t>
        </is>
      </c>
      <c r="D59" s="9" t="inlineStr">
        <is>
          <t>Securitized Bridge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35.7265625" customWidth="1" min="2" max="2"/>
    <col width="29.26953125" customWidth="1" min="3" max="3"/>
    <col width="21" bestFit="1" customWidth="1" min="6" max="6"/>
  </cols>
  <sheetData>
    <row r="2">
      <c r="B2" s="7" t="inlineStr">
        <is>
          <t>Project Strategy Groupings</t>
        </is>
      </c>
      <c r="F2" s="7" t="inlineStr">
        <is>
          <t>Special Asset Officers</t>
        </is>
      </c>
    </row>
    <row r="4">
      <c r="B4" s="7" t="inlineStr">
        <is>
          <t>Strategy</t>
        </is>
      </c>
      <c r="C4" s="7" t="inlineStr">
        <is>
          <t>Grouping</t>
        </is>
      </c>
      <c r="F4" s="7" t="inlineStr">
        <is>
          <t>Asset Manager 1</t>
        </is>
      </c>
      <c r="G4" s="7" t="inlineStr">
        <is>
          <t>Y</t>
        </is>
      </c>
    </row>
    <row r="5">
      <c r="B5" t="inlineStr">
        <is>
          <t>Renovate and Rent</t>
        </is>
      </c>
      <c r="C5" t="inlineStr">
        <is>
          <t>Renovate / Build to Rent</t>
        </is>
      </c>
      <c r="F5" t="inlineStr">
        <is>
          <t>Natasha Sango</t>
        </is>
      </c>
      <c r="G5" t="inlineStr">
        <is>
          <t>Y</t>
        </is>
      </c>
    </row>
    <row r="6">
      <c r="B6" t="inlineStr">
        <is>
          <t>Build to Rent</t>
        </is>
      </c>
      <c r="C6" t="inlineStr">
        <is>
          <t>Renovate / Build to Rent</t>
        </is>
      </c>
      <c r="F6" t="inlineStr">
        <is>
          <t>Nerissa Pryba</t>
        </is>
      </c>
      <c r="G6" t="inlineStr">
        <is>
          <t>Y</t>
        </is>
      </c>
    </row>
    <row r="7">
      <c r="B7" t="inlineStr">
        <is>
          <t>Portfolio Acquisition</t>
        </is>
      </c>
      <c r="C7" t="inlineStr">
        <is>
          <t>Renovate / Build to Rent</t>
        </is>
      </c>
      <c r="F7" t="inlineStr">
        <is>
          <t>John Sullivan</t>
        </is>
      </c>
      <c r="G7" t="inlineStr">
        <is>
          <t>Y</t>
        </is>
      </c>
    </row>
    <row r="8">
      <c r="B8" t="inlineStr">
        <is>
          <t>Refinance (SFR / MFR)</t>
        </is>
      </c>
      <c r="C8" t="inlineStr">
        <is>
          <t>Renovate / Build to Rent</t>
        </is>
      </c>
      <c r="F8" t="inlineStr">
        <is>
          <t>Chris Sullivan</t>
        </is>
      </c>
      <c r="G8" t="inlineStr">
        <is>
          <t>Y</t>
        </is>
      </c>
    </row>
    <row r="9">
      <c r="B9" t="inlineStr">
        <is>
          <t>Aggregation</t>
        </is>
      </c>
      <c r="C9" t="inlineStr">
        <is>
          <t>Renovate / Build to Rent</t>
        </is>
      </c>
      <c r="F9" t="inlineStr">
        <is>
          <t>Jim Casey</t>
        </is>
      </c>
      <c r="G9" t="inlineStr">
        <is>
          <t>Y</t>
        </is>
      </c>
    </row>
    <row r="10">
      <c r="B10" t="inlineStr">
        <is>
          <t>Multifamily Light Lift</t>
        </is>
      </c>
      <c r="C10" t="inlineStr">
        <is>
          <t>Multifamily</t>
        </is>
      </c>
      <c r="F10" t="inlineStr">
        <is>
          <t>Jon Popovich</t>
        </is>
      </c>
      <c r="G10" t="inlineStr">
        <is>
          <t>Y</t>
        </is>
      </c>
    </row>
    <row r="11">
      <c r="B11" t="inlineStr">
        <is>
          <t>Multifamily Light Lift/CLO</t>
        </is>
      </c>
      <c r="C11" t="inlineStr">
        <is>
          <t>Multifamily</t>
        </is>
      </c>
      <c r="F11" t="inlineStr">
        <is>
          <t>John Parsinen</t>
        </is>
      </c>
      <c r="G11" t="inlineStr">
        <is>
          <t>Y</t>
        </is>
      </c>
    </row>
    <row r="12">
      <c r="B12" t="inlineStr">
        <is>
          <t>Multifamily Lease-Up/No Rehab</t>
        </is>
      </c>
      <c r="C12" t="inlineStr">
        <is>
          <t>Multifamily</t>
        </is>
      </c>
      <c r="F12" t="inlineStr">
        <is>
          <t>Matt Kim</t>
        </is>
      </c>
      <c r="G12" t="inlineStr">
        <is>
          <t>Y</t>
        </is>
      </c>
    </row>
    <row r="13">
      <c r="B13" t="inlineStr">
        <is>
          <t>Multifamily Lease-Up/No Rehab/CLO</t>
        </is>
      </c>
      <c r="C13" t="inlineStr">
        <is>
          <t>Multifamily</t>
        </is>
      </c>
      <c r="F13" t="inlineStr">
        <is>
          <t>John Oakes</t>
        </is>
      </c>
      <c r="G13" t="inlineStr">
        <is>
          <t>Y</t>
        </is>
      </c>
    </row>
    <row r="14">
      <c r="B14" t="inlineStr">
        <is>
          <t>Multifamily Heavy Lift</t>
        </is>
      </c>
      <c r="C14" t="inlineStr">
        <is>
          <t>Multifamily</t>
        </is>
      </c>
      <c r="F14" t="inlineStr">
        <is>
          <t>Cole Smith</t>
        </is>
      </c>
      <c r="G14" t="inlineStr">
        <is>
          <t>Y</t>
        </is>
      </c>
    </row>
    <row r="15">
      <c r="B15" t="inlineStr">
        <is>
          <t>Multifamily Heavy Lift/CLO</t>
        </is>
      </c>
      <c r="C15" t="inlineStr">
        <is>
          <t>Multifamily</t>
        </is>
      </c>
    </row>
    <row r="16">
      <c r="B16" t="inlineStr">
        <is>
          <t>Conversion to Multifamily</t>
        </is>
      </c>
      <c r="C16" t="inlineStr">
        <is>
          <t>Multifamily</t>
        </is>
      </c>
    </row>
    <row r="17">
      <c r="B17" t="inlineStr">
        <is>
          <t>Multifamily GUC</t>
        </is>
      </c>
      <c r="C17" t="inlineStr">
        <is>
          <t>Multifamily</t>
        </is>
      </c>
    </row>
    <row r="18">
      <c r="B18" t="inlineStr">
        <is>
          <t>Ground Up Construction</t>
        </is>
      </c>
      <c r="C18" t="inlineStr">
        <is>
          <t>Multifamily</t>
        </is>
      </c>
    </row>
    <row r="19">
      <c r="B19" t="inlineStr">
        <is>
          <t>Townhome GUC</t>
        </is>
      </c>
      <c r="C19" t="inlineStr">
        <is>
          <t>Multifamily</t>
        </is>
      </c>
    </row>
    <row r="20">
      <c r="B20" t="inlineStr">
        <is>
          <t>Fix and Flip</t>
        </is>
      </c>
      <c r="C20" t="inlineStr">
        <is>
          <t>Single Asset 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Keown</dc:creator>
  <dcterms:created xmlns:dcterms="http://purl.org/dc/terms/" xmlns:xsi="http://www.w3.org/2001/XMLSchema-instance" xsi:type="dcterms:W3CDTF">2025-10-06T15:35:50Z</dcterms:created>
  <dcterms:modified xmlns:dcterms="http://purl.org/dc/terms/" xmlns:xsi="http://www.w3.org/2001/XMLSchema-instance" xsi:type="dcterms:W3CDTF">2026-06-16T16:36:29Z</dcterms:modified>
  <cp:lastModifiedBy>Jonathan Smith</cp:lastModifiedBy>
</cp:coreProperties>
</file>